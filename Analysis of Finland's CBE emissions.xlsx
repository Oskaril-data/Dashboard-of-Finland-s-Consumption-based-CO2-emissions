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skar\Documents\Documents\Excel_projekti\"/>
    </mc:Choice>
  </mc:AlternateContent>
  <xr:revisionPtr revIDLastSave="0" documentId="13_ncr:1_{D2CFAFFE-8DFA-4D2B-A6CB-9CFC94D9EC8D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Dashboard" sheetId="1" r:id="rId1"/>
    <sheet name="Data_processed" sheetId="3" r:id="rId2"/>
    <sheet name="LULUCF_FI" sheetId="5" r:id="rId3"/>
    <sheet name="Sheet1" sheetId="6" r:id="rId4"/>
    <sheet name="Calculations" sheetId="4" r:id="rId5"/>
  </sheets>
  <definedNames>
    <definedName name="Dietary_change">Calculations!$C$2</definedName>
    <definedName name="ExternalData_1" localSheetId="1" hidden="1">Data_processed!$A$1:$F$263</definedName>
    <definedName name="ExternalData_1" localSheetId="2" hidden="1">LULUCF_FI!$A$1:$B$38</definedName>
  </definedNames>
  <calcPr calcId="191029"/>
  <pivotCaches>
    <pivotCache cacheId="2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2" i="4"/>
  <c r="C10" i="4"/>
  <c r="C50" i="4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14" i="4"/>
  <c r="F14" i="4" s="1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14" i="4"/>
  <c r="G14" i="4" s="1"/>
  <c r="F9" i="4" l="1"/>
  <c r="B55" i="4" s="1"/>
  <c r="G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6" i="4"/>
  <c r="G32" i="4"/>
  <c r="G33" i="4"/>
  <c r="G34" i="4"/>
  <c r="G35" i="4"/>
  <c r="G37" i="4"/>
  <c r="G38" i="4"/>
  <c r="G39" i="4"/>
  <c r="G40" i="4"/>
  <c r="G41" i="4"/>
  <c r="G42" i="4"/>
  <c r="G43" i="4"/>
  <c r="G44" i="4"/>
  <c r="G45" i="4"/>
  <c r="G46" i="4"/>
  <c r="G47" i="4"/>
  <c r="D56" i="4" l="1"/>
  <c r="D5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1B5442-E81D-40DE-8A4A-1A20054F9F8E}" keepAlive="1" name="Query - consumption-co2-per-capita-vs-gdppc" description="Connection to the 'consumption-co2-per-capita-vs-gdppc' query in the workbook." type="5" refreshedVersion="8" background="1" saveData="1">
    <dbPr connection="Provider=Microsoft.Mashup.OleDb.1;Data Source=$Workbook$;Location=consumption-co2-per-capita-vs-gdppc;Extended Properties=&quot;&quot;" command="SELECT * FROM [consumption-co2-per-capita-vs-gdppc]"/>
  </connection>
  <connection id="2" xr16:uid="{2D68C7BA-4ABE-4E62-A6A8-BA7C1CB07F5F}" keepAlive="1" name="Query - LULUCF_FI" description="Connection to the 'LULUCF_FI' query in the workbook." type="5" refreshedVersion="8" background="1" saveData="1">
    <dbPr connection="Provider=Microsoft.Mashup.OleDb.1;Data Source=$Workbook$;Location=LULUCF_FI;Extended Properties=&quot;&quot;" command="SELECT * FROM [LULUCF_FI]"/>
  </connection>
</connections>
</file>

<file path=xl/sharedStrings.xml><?xml version="1.0" encoding="utf-8"?>
<sst xmlns="http://schemas.openxmlformats.org/spreadsheetml/2006/main" count="181" uniqueCount="110">
  <si>
    <t>Entity</t>
  </si>
  <si>
    <t>Code</t>
  </si>
  <si>
    <t>Year</t>
  </si>
  <si>
    <t>Per capita consumption-based CO₂ emissions</t>
  </si>
  <si>
    <t>GDP per capita, PPP (constant 2021 international $)</t>
  </si>
  <si>
    <t>Population (historical)</t>
  </si>
  <si>
    <t/>
  </si>
  <si>
    <t>Finland</t>
  </si>
  <si>
    <t>FIN</t>
  </si>
  <si>
    <t>Variable</t>
  </si>
  <si>
    <t>Source</t>
  </si>
  <si>
    <t>Private car</t>
  </si>
  <si>
    <t>GDP per capita</t>
  </si>
  <si>
    <t>LULUCF</t>
  </si>
  <si>
    <t>Column1</t>
  </si>
  <si>
    <t>Column4</t>
  </si>
  <si>
    <t>138v -- Kasvihuonekaasupäästöt Suomessa, 1990-2024*</t>
  </si>
  <si>
    <t>Vuosi</t>
  </si>
  <si>
    <t>Päästö, tuhatta tonnia CO2-ekv. (GWP=AR5)</t>
  </si>
  <si>
    <t>1990</t>
  </si>
  <si>
    <t>-31931</t>
  </si>
  <si>
    <t>1991</t>
  </si>
  <si>
    <t>-44321</t>
  </si>
  <si>
    <t>1992</t>
  </si>
  <si>
    <t>-38513</t>
  </si>
  <si>
    <t>1993</t>
  </si>
  <si>
    <t>-39737</t>
  </si>
  <si>
    <t>1994</t>
  </si>
  <si>
    <t>-33480</t>
  </si>
  <si>
    <t>1995</t>
  </si>
  <si>
    <t>-32093</t>
  </si>
  <si>
    <t>1996</t>
  </si>
  <si>
    <t>-39264</t>
  </si>
  <si>
    <t>1997</t>
  </si>
  <si>
    <t>-35705</t>
  </si>
  <si>
    <t>1998</t>
  </si>
  <si>
    <t>-33046</t>
  </si>
  <si>
    <t>1999</t>
  </si>
  <si>
    <t>-33068</t>
  </si>
  <si>
    <t>2000</t>
  </si>
  <si>
    <t>2001</t>
  </si>
  <si>
    <t>-33354</t>
  </si>
  <si>
    <t>2002</t>
  </si>
  <si>
    <t>-34273</t>
  </si>
  <si>
    <t>2003</t>
  </si>
  <si>
    <t>-35264</t>
  </si>
  <si>
    <t>2004</t>
  </si>
  <si>
    <t>-37317</t>
  </si>
  <si>
    <t>2005</t>
  </si>
  <si>
    <t>-37381</t>
  </si>
  <si>
    <t>2006</t>
  </si>
  <si>
    <t>-41334</t>
  </si>
  <si>
    <t>2007</t>
  </si>
  <si>
    <t>-31755</t>
  </si>
  <si>
    <t>2008</t>
  </si>
  <si>
    <t>-34819</t>
  </si>
  <si>
    <t>2009</t>
  </si>
  <si>
    <t>-45837</t>
  </si>
  <si>
    <t>2010</t>
  </si>
  <si>
    <t>-33857</t>
  </si>
  <si>
    <t>2011</t>
  </si>
  <si>
    <t>-33142</t>
  </si>
  <si>
    <t>2012</t>
  </si>
  <si>
    <t>-34781</t>
  </si>
  <si>
    <t>2013</t>
  </si>
  <si>
    <t>-27694</t>
  </si>
  <si>
    <t>2014</t>
  </si>
  <si>
    <t>-28599</t>
  </si>
  <si>
    <t>2015</t>
  </si>
  <si>
    <t>-23463</t>
  </si>
  <si>
    <t>2016</t>
  </si>
  <si>
    <t>-18333</t>
  </si>
  <si>
    <t>2017</t>
  </si>
  <si>
    <t>-13266</t>
  </si>
  <si>
    <t>2018</t>
  </si>
  <si>
    <t>-764</t>
  </si>
  <si>
    <t>2019</t>
  </si>
  <si>
    <t>-4086</t>
  </si>
  <si>
    <t>2020</t>
  </si>
  <si>
    <t>-4953</t>
  </si>
  <si>
    <t>2021</t>
  </si>
  <si>
    <t>5166</t>
  </si>
  <si>
    <t>2022</t>
  </si>
  <si>
    <t>5554</t>
  </si>
  <si>
    <t>2023</t>
  </si>
  <si>
    <t>4553</t>
  </si>
  <si>
    <t>CBE CO2 per capita incl. LULUCF</t>
  </si>
  <si>
    <t>LULUCF per capita</t>
  </si>
  <si>
    <t>Flying</t>
  </si>
  <si>
    <t>https://yle.fi/a/3-10595412</t>
  </si>
  <si>
    <t>https://www.ilmasto-opas.fi/artikkelit/liikenne-on-merkittava-kasvihuonekaasupaastojen-tuottaja</t>
  </si>
  <si>
    <t>Dietary change</t>
  </si>
  <si>
    <t>https://www.ilmasto-opas.fi/artikkelit/ilmastonmuutosta-voi-hillita-ilmastoystavallisella-ruokavaliolla</t>
  </si>
  <si>
    <t>Green steel</t>
  </si>
  <si>
    <t>https://wwf.fi/uutiset/2022/11/terasteollisuudella-keskeinen-rooli-ilmastokriisin-ratkaisemisessa-vahahiiliseen-tuotantoon-investoitava-merkittavasti-jo-talla-vuosikymmenella/</t>
  </si>
  <si>
    <t>Textiles</t>
  </si>
  <si>
    <t>https://wwf.fi/earthhour/ideat/opi-lisaa-siita-miten-pikamuoti-kuormittaa-ymparistoa/</t>
  </si>
  <si>
    <t>Grand Total</t>
  </si>
  <si>
    <t>Row Labels</t>
  </si>
  <si>
    <t>Sustainable level</t>
  </si>
  <si>
    <t xml:space="preserve">GDP per capita </t>
  </si>
  <si>
    <t xml:space="preserve">CO2 footprint per capita incl. LULUCF </t>
  </si>
  <si>
    <t xml:space="preserve">Sustainable level </t>
  </si>
  <si>
    <t>Other goods and services</t>
  </si>
  <si>
    <t>Rest</t>
  </si>
  <si>
    <t>Effect</t>
  </si>
  <si>
    <t>Chosen</t>
  </si>
  <si>
    <t>Total_effect</t>
  </si>
  <si>
    <t>Simulated Footprint</t>
  </si>
  <si>
    <t>100% renewable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</si>
</sst>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Segoe UI"/>
      <family val="2"/>
    </font>
    <font>
      <sz val="20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3" fontId="0" fillId="0" borderId="0" xfId="0" applyNumberFormat="1"/>
    <xf numFmtId="0" fontId="0" fillId="0" borderId="2" xfId="0" applyBorder="1"/>
    <xf numFmtId="0" fontId="0" fillId="3" borderId="2" xfId="0" applyFill="1" applyBorder="1"/>
    <xf numFmtId="0" fontId="0" fillId="4" borderId="2" xfId="0" applyFill="1" applyBorder="1"/>
    <xf numFmtId="0" fontId="0" fillId="4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4" xfId="0" applyFill="1" applyBorder="1"/>
    <xf numFmtId="0" fontId="0" fillId="0" borderId="4" xfId="0" applyBorder="1"/>
    <xf numFmtId="0" fontId="0" fillId="4" borderId="5" xfId="0" applyFill="1" applyBorder="1"/>
    <xf numFmtId="0" fontId="0" fillId="0" borderId="6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3" xfId="0" applyFill="1" applyBorder="1"/>
    <xf numFmtId="0" fontId="0" fillId="3" borderId="8" xfId="0" applyFill="1" applyBorder="1"/>
    <xf numFmtId="0" fontId="0" fillId="7" borderId="7" xfId="0" applyFill="1" applyBorder="1"/>
    <xf numFmtId="0" fontId="3" fillId="6" borderId="0" xfId="0" applyFont="1" applyFill="1"/>
    <xf numFmtId="0" fontId="1" fillId="6" borderId="0" xfId="0" applyFont="1" applyFill="1"/>
    <xf numFmtId="0" fontId="4" fillId="6" borderId="0" xfId="0" applyFont="1" applyFill="1"/>
  </cellXfs>
  <cellStyles count="1">
    <cellStyle name="Normal" xfId="0" builtinId="0"/>
  </cellStyles>
  <dxfs count="15"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of Finland's CBE emissions.xlsx]Sheet1!PivotTable1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Change</a:t>
            </a:r>
            <a:r>
              <a:rPr lang="fi-FI" baseline="0"/>
              <a:t> in CO₂ emissions and GDP, Finland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1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1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2225" cap="rnd">
            <a:solidFill>
              <a:schemeClr val="accent2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1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1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1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1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1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CO2 footprint per capita incl. LULUCF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75000"/>
                </a:schemeClr>
              </a:solidFill>
              <a:ln w="9525">
                <a:noFill/>
              </a:ln>
              <a:effectLst/>
            </c:spPr>
          </c:marker>
          <c:dPt>
            <c:idx val="26"/>
            <c:marker>
              <c:symbol val="diamond"/>
              <c:size val="5"/>
              <c:spPr>
                <a:solidFill>
                  <a:schemeClr val="accent1">
                    <a:lumMod val="75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spPr>
              <a:ln w="2222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36-4D82-BD23-F8709062339C}"/>
              </c:ext>
            </c:extLst>
          </c:dPt>
          <c:cat>
            <c:strRef>
              <c:f>Sheet1!$A$4:$A$38</c:f>
              <c:strCach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strCache>
            </c:strRef>
          </c:cat>
          <c:val>
            <c:numRef>
              <c:f>Sheet1!$B$4:$B$38</c:f>
              <c:numCache>
                <c:formatCode>0.00%</c:formatCode>
                <c:ptCount val="34"/>
                <c:pt idx="1">
                  <c:v>-9.114038658244325E-2</c:v>
                </c:pt>
                <c:pt idx="2">
                  <c:v>0.16099245245516083</c:v>
                </c:pt>
                <c:pt idx="3">
                  <c:v>-1.8585314677329965E-2</c:v>
                </c:pt>
                <c:pt idx="4">
                  <c:v>-7.2210082122884003E-2</c:v>
                </c:pt>
                <c:pt idx="5">
                  <c:v>-0.10241057090435304</c:v>
                </c:pt>
                <c:pt idx="6">
                  <c:v>-0.1677964111054184</c:v>
                </c:pt>
                <c:pt idx="7">
                  <c:v>-0.24604103101648553</c:v>
                </c:pt>
                <c:pt idx="8">
                  <c:v>-0.24431113808052224</c:v>
                </c:pt>
                <c:pt idx="9">
                  <c:v>-0.21102702954262564</c:v>
                </c:pt>
                <c:pt idx="10">
                  <c:v>-0.15249232020375736</c:v>
                </c:pt>
                <c:pt idx="11">
                  <c:v>-0.12718857303288456</c:v>
                </c:pt>
                <c:pt idx="12">
                  <c:v>-0.12870531172930735</c:v>
                </c:pt>
                <c:pt idx="13">
                  <c:v>-1.7469422063161263E-2</c:v>
                </c:pt>
                <c:pt idx="14">
                  <c:v>-5.9210216745980038E-2</c:v>
                </c:pt>
                <c:pt idx="15">
                  <c:v>-0.10427752629942161</c:v>
                </c:pt>
                <c:pt idx="16">
                  <c:v>-3.512046448557115E-2</c:v>
                </c:pt>
                <c:pt idx="17">
                  <c:v>-4.9341376567419867E-2</c:v>
                </c:pt>
                <c:pt idx="18">
                  <c:v>-0.10802283553338608</c:v>
                </c:pt>
                <c:pt idx="19">
                  <c:v>-0.21627625252873772</c:v>
                </c:pt>
                <c:pt idx="20">
                  <c:v>-8.5298209698176586E-2</c:v>
                </c:pt>
                <c:pt idx="21">
                  <c:v>-0.23034890325197899</c:v>
                </c:pt>
                <c:pt idx="22">
                  <c:v>-0.26717982696727693</c:v>
                </c:pt>
                <c:pt idx="23">
                  <c:v>-0.30217663279860457</c:v>
                </c:pt>
                <c:pt idx="24">
                  <c:v>-0.35721445227455778</c:v>
                </c:pt>
                <c:pt idx="25">
                  <c:v>-0.42036317768141407</c:v>
                </c:pt>
                <c:pt idx="26">
                  <c:v>-0.39375507869491072</c:v>
                </c:pt>
                <c:pt idx="27">
                  <c:v>-0.39404062217199265</c:v>
                </c:pt>
                <c:pt idx="28">
                  <c:v>-0.37279369930189921</c:v>
                </c:pt>
                <c:pt idx="29">
                  <c:v>-0.42326128565832982</c:v>
                </c:pt>
                <c:pt idx="30">
                  <c:v>-0.47958631795637047</c:v>
                </c:pt>
                <c:pt idx="31">
                  <c:v>-0.44334487770099912</c:v>
                </c:pt>
                <c:pt idx="32">
                  <c:v>-0.4667024482812222</c:v>
                </c:pt>
                <c:pt idx="33">
                  <c:v>-0.52303145696337039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36-4D82-BD23-F8709062339C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GDP per capita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Sheet1!$A$4:$A$38</c:f>
              <c:strCach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strCache>
            </c:strRef>
          </c:cat>
          <c:val>
            <c:numRef>
              <c:f>Sheet1!$C$4:$C$38</c:f>
              <c:numCache>
                <c:formatCode>0.00%</c:formatCode>
                <c:ptCount val="34"/>
                <c:pt idx="1">
                  <c:v>-6.3932474035625894E-2</c:v>
                </c:pt>
                <c:pt idx="2">
                  <c:v>-0.10000057463686357</c:v>
                </c:pt>
                <c:pt idx="3">
                  <c:v>-0.11132914099235967</c:v>
                </c:pt>
                <c:pt idx="4">
                  <c:v>-8.0072863954310167E-2</c:v>
                </c:pt>
                <c:pt idx="5">
                  <c:v>-4.477238028271982E-2</c:v>
                </c:pt>
                <c:pt idx="6">
                  <c:v>-1.3028718417809712E-2</c:v>
                </c:pt>
                <c:pt idx="7">
                  <c:v>4.6996611472065804E-2</c:v>
                </c:pt>
                <c:pt idx="8">
                  <c:v>0.10117546222256092</c:v>
                </c:pt>
                <c:pt idx="9">
                  <c:v>0.1468440183278753</c:v>
                </c:pt>
                <c:pt idx="10">
                  <c:v>0.21031510792208549</c:v>
                </c:pt>
                <c:pt idx="11">
                  <c:v>0.23944533163852405</c:v>
                </c:pt>
                <c:pt idx="12">
                  <c:v>0.25730777681836042</c:v>
                </c:pt>
                <c:pt idx="13">
                  <c:v>0.27954743455949077</c:v>
                </c:pt>
                <c:pt idx="14">
                  <c:v>0.32693977241339534</c:v>
                </c:pt>
                <c:pt idx="15">
                  <c:v>0.35913335175091726</c:v>
                </c:pt>
                <c:pt idx="16">
                  <c:v>0.40834940147705395</c:v>
                </c:pt>
                <c:pt idx="17">
                  <c:v>0.47687582666859796</c:v>
                </c:pt>
                <c:pt idx="18">
                  <c:v>0.4815474697592198</c:v>
                </c:pt>
                <c:pt idx="19">
                  <c:v>0.355399577866091</c:v>
                </c:pt>
                <c:pt idx="20">
                  <c:v>0.39195975315558745</c:v>
                </c:pt>
                <c:pt idx="21">
                  <c:v>0.41864158576891969</c:v>
                </c:pt>
                <c:pt idx="22">
                  <c:v>0.39040650713630698</c:v>
                </c:pt>
                <c:pt idx="23">
                  <c:v>0.37045557906298482</c:v>
                </c:pt>
                <c:pt idx="24">
                  <c:v>0.35827492673573247</c:v>
                </c:pt>
                <c:pt idx="25">
                  <c:v>0.36012396901320964</c:v>
                </c:pt>
                <c:pt idx="26">
                  <c:v>0.39110135390887202</c:v>
                </c:pt>
                <c:pt idx="27">
                  <c:v>0.43368617153394828</c:v>
                </c:pt>
                <c:pt idx="28">
                  <c:v>0.4488666086687142</c:v>
                </c:pt>
                <c:pt idx="29">
                  <c:v>0.46680543159132382</c:v>
                </c:pt>
                <c:pt idx="30">
                  <c:v>0.42821379903072943</c:v>
                </c:pt>
                <c:pt idx="31">
                  <c:v>0.46340103028009016</c:v>
                </c:pt>
                <c:pt idx="32">
                  <c:v>0.47056286093089583</c:v>
                </c:pt>
                <c:pt idx="33">
                  <c:v>0.44938465797394855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36-4D82-BD23-F8709062339C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Sustainable level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Sheet1!$A$4:$A$38</c:f>
              <c:strCach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strCache>
            </c:strRef>
          </c:cat>
          <c:val>
            <c:numRef>
              <c:f>Sheet1!$D$4:$D$38</c:f>
              <c:numCache>
                <c:formatCode>General</c:formatCode>
                <c:ptCount val="34"/>
                <c:pt idx="0">
                  <c:v>-0.89</c:v>
                </c:pt>
                <c:pt idx="1">
                  <c:v>-0.89</c:v>
                </c:pt>
                <c:pt idx="2">
                  <c:v>-0.89</c:v>
                </c:pt>
                <c:pt idx="3">
                  <c:v>-0.89</c:v>
                </c:pt>
                <c:pt idx="4">
                  <c:v>-0.89</c:v>
                </c:pt>
                <c:pt idx="5">
                  <c:v>-0.89</c:v>
                </c:pt>
                <c:pt idx="6">
                  <c:v>-0.89</c:v>
                </c:pt>
                <c:pt idx="7">
                  <c:v>-0.89</c:v>
                </c:pt>
                <c:pt idx="8">
                  <c:v>-0.89</c:v>
                </c:pt>
                <c:pt idx="9">
                  <c:v>-0.89</c:v>
                </c:pt>
                <c:pt idx="10">
                  <c:v>-0.89</c:v>
                </c:pt>
                <c:pt idx="11">
                  <c:v>-0.89</c:v>
                </c:pt>
                <c:pt idx="12">
                  <c:v>-0.89</c:v>
                </c:pt>
                <c:pt idx="13">
                  <c:v>-0.89</c:v>
                </c:pt>
                <c:pt idx="14">
                  <c:v>-0.89</c:v>
                </c:pt>
                <c:pt idx="15">
                  <c:v>-0.89</c:v>
                </c:pt>
                <c:pt idx="16">
                  <c:v>-0.89</c:v>
                </c:pt>
                <c:pt idx="17">
                  <c:v>-0.89</c:v>
                </c:pt>
                <c:pt idx="18">
                  <c:v>-0.89</c:v>
                </c:pt>
                <c:pt idx="19">
                  <c:v>-0.89</c:v>
                </c:pt>
                <c:pt idx="20">
                  <c:v>-0.89</c:v>
                </c:pt>
                <c:pt idx="21">
                  <c:v>-0.89</c:v>
                </c:pt>
                <c:pt idx="22">
                  <c:v>-0.89</c:v>
                </c:pt>
                <c:pt idx="23">
                  <c:v>-0.89</c:v>
                </c:pt>
                <c:pt idx="24">
                  <c:v>-0.89</c:v>
                </c:pt>
                <c:pt idx="25">
                  <c:v>-0.89</c:v>
                </c:pt>
                <c:pt idx="26">
                  <c:v>-0.89</c:v>
                </c:pt>
                <c:pt idx="27">
                  <c:v>-0.89</c:v>
                </c:pt>
                <c:pt idx="28">
                  <c:v>-0.89</c:v>
                </c:pt>
                <c:pt idx="29">
                  <c:v>-0.89</c:v>
                </c:pt>
                <c:pt idx="30">
                  <c:v>-0.89</c:v>
                </c:pt>
                <c:pt idx="31">
                  <c:v>-0.89</c:v>
                </c:pt>
                <c:pt idx="32">
                  <c:v>-0.89</c:v>
                </c:pt>
                <c:pt idx="33">
                  <c:v>-0.89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36-4D82-BD23-F87090623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675759"/>
        <c:axId val="1395674319"/>
      </c:lineChart>
      <c:catAx>
        <c:axId val="1395675759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54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95674319"/>
        <c:crosses val="autoZero"/>
        <c:auto val="1"/>
        <c:lblAlgn val="ctr"/>
        <c:lblOffset val="100"/>
        <c:noMultiLvlLbl val="0"/>
      </c:catAx>
      <c:valAx>
        <c:axId val="1395674319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95675759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Simulated</a:t>
            </a:r>
            <a:r>
              <a:rPr lang="fi-FI" baseline="0"/>
              <a:t> CO2 emissions per capita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5782407407407409"/>
          <c:w val="0.87753018372703417"/>
          <c:h val="0.72088764946048411"/>
        </c:manualLayout>
      </c:layout>
      <c:barChart>
        <c:barDir val="col"/>
        <c:grouping val="clustered"/>
        <c:varyColors val="0"/>
        <c:ser>
          <c:idx val="1"/>
          <c:order val="0"/>
          <c:tx>
            <c:v>Over</c:v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Calculations!$D$55</c:f>
              <c:numCache>
                <c:formatCode>General</c:formatCode>
                <c:ptCount val="1"/>
                <c:pt idx="0">
                  <c:v>8474.3838637065201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E3-4F39-B7ED-B7C0AF492D1D}"/>
            </c:ext>
          </c:extLst>
        </c:ser>
        <c:ser>
          <c:idx val="0"/>
          <c:order val="1"/>
          <c:tx>
            <c:v>Under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Calculations!$D$56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E3-4F39-B7ED-B7C0AF492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51797055"/>
        <c:axId val="1651800895"/>
      </c:barChart>
      <c:lineChart>
        <c:grouping val="standard"/>
        <c:varyColors val="0"/>
        <c:ser>
          <c:idx val="2"/>
          <c:order val="2"/>
          <c:tx>
            <c:v>Sustainable level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Dashboard!$L$47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E3-4F39-B7ED-B7C0AF492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797055"/>
        <c:axId val="1651800895"/>
      </c:lineChart>
      <c:catAx>
        <c:axId val="16517970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1800895"/>
        <c:crossesAt val="0"/>
        <c:auto val="1"/>
        <c:lblAlgn val="ctr"/>
        <c:lblOffset val="100"/>
        <c:noMultiLvlLbl val="0"/>
      </c:catAx>
      <c:valAx>
        <c:axId val="1651800895"/>
        <c:scaling>
          <c:orientation val="minMax"/>
          <c:max val="9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5179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of Finland's CBE emissions.xlsx]Sheet1!PivotTable1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Change</a:t>
            </a:r>
            <a:r>
              <a:rPr lang="fi-FI" baseline="0"/>
              <a:t> in CO2 emissions and GDP, Finland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ivotFmts>
      <c:pivotFmt>
        <c:idx val="0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1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accent1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4"/>
        <c:spPr>
          <a:ln w="22225" cap="rnd">
            <a:solidFill>
              <a:schemeClr val="accent2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CO2 footprint per capita incl. LULUCF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75000"/>
                </a:schemeClr>
              </a:solidFill>
              <a:ln w="9525">
                <a:noFill/>
              </a:ln>
              <a:effectLst/>
            </c:spPr>
          </c:marker>
          <c:dPt>
            <c:idx val="26"/>
            <c:marker>
              <c:symbol val="diamond"/>
              <c:size val="5"/>
              <c:spPr>
                <a:solidFill>
                  <a:schemeClr val="accent1">
                    <a:lumMod val="75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spPr>
              <a:ln w="2222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42A-461D-82E8-D44904752450}"/>
              </c:ext>
            </c:extLst>
          </c:dPt>
          <c:cat>
            <c:strRef>
              <c:f>Sheet1!$A$4:$A$38</c:f>
              <c:strCach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strCache>
            </c:strRef>
          </c:cat>
          <c:val>
            <c:numRef>
              <c:f>Sheet1!$B$4:$B$38</c:f>
              <c:numCache>
                <c:formatCode>0.00%</c:formatCode>
                <c:ptCount val="34"/>
                <c:pt idx="1">
                  <c:v>-9.114038658244325E-2</c:v>
                </c:pt>
                <c:pt idx="2">
                  <c:v>0.16099245245516083</c:v>
                </c:pt>
                <c:pt idx="3">
                  <c:v>-1.8585314677329965E-2</c:v>
                </c:pt>
                <c:pt idx="4">
                  <c:v>-7.2210082122884003E-2</c:v>
                </c:pt>
                <c:pt idx="5">
                  <c:v>-0.10241057090435304</c:v>
                </c:pt>
                <c:pt idx="6">
                  <c:v>-0.1677964111054184</c:v>
                </c:pt>
                <c:pt idx="7">
                  <c:v>-0.24604103101648553</c:v>
                </c:pt>
                <c:pt idx="8">
                  <c:v>-0.24431113808052224</c:v>
                </c:pt>
                <c:pt idx="9">
                  <c:v>-0.21102702954262564</c:v>
                </c:pt>
                <c:pt idx="10">
                  <c:v>-0.15249232020375736</c:v>
                </c:pt>
                <c:pt idx="11">
                  <c:v>-0.12718857303288456</c:v>
                </c:pt>
                <c:pt idx="12">
                  <c:v>-0.12870531172930735</c:v>
                </c:pt>
                <c:pt idx="13">
                  <c:v>-1.7469422063161263E-2</c:v>
                </c:pt>
                <c:pt idx="14">
                  <c:v>-5.9210216745980038E-2</c:v>
                </c:pt>
                <c:pt idx="15">
                  <c:v>-0.10427752629942161</c:v>
                </c:pt>
                <c:pt idx="16">
                  <c:v>-3.512046448557115E-2</c:v>
                </c:pt>
                <c:pt idx="17">
                  <c:v>-4.9341376567419867E-2</c:v>
                </c:pt>
                <c:pt idx="18">
                  <c:v>-0.10802283553338608</c:v>
                </c:pt>
                <c:pt idx="19">
                  <c:v>-0.21627625252873772</c:v>
                </c:pt>
                <c:pt idx="20">
                  <c:v>-8.5298209698176586E-2</c:v>
                </c:pt>
                <c:pt idx="21">
                  <c:v>-0.23034890325197899</c:v>
                </c:pt>
                <c:pt idx="22">
                  <c:v>-0.26717982696727693</c:v>
                </c:pt>
                <c:pt idx="23">
                  <c:v>-0.30217663279860457</c:v>
                </c:pt>
                <c:pt idx="24">
                  <c:v>-0.35721445227455778</c:v>
                </c:pt>
                <c:pt idx="25">
                  <c:v>-0.42036317768141407</c:v>
                </c:pt>
                <c:pt idx="26">
                  <c:v>-0.39375507869491072</c:v>
                </c:pt>
                <c:pt idx="27">
                  <c:v>-0.39404062217199265</c:v>
                </c:pt>
                <c:pt idx="28">
                  <c:v>-0.37279369930189921</c:v>
                </c:pt>
                <c:pt idx="29">
                  <c:v>-0.42326128565832982</c:v>
                </c:pt>
                <c:pt idx="30">
                  <c:v>-0.47958631795637047</c:v>
                </c:pt>
                <c:pt idx="31">
                  <c:v>-0.44334487770099912</c:v>
                </c:pt>
                <c:pt idx="32">
                  <c:v>-0.4667024482812222</c:v>
                </c:pt>
                <c:pt idx="33">
                  <c:v>-0.52303145696337039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A-461D-82E8-D4490475245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GDP per capita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Sheet1!$A$4:$A$38</c:f>
              <c:strCach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strCache>
            </c:strRef>
          </c:cat>
          <c:val>
            <c:numRef>
              <c:f>Sheet1!$C$4:$C$38</c:f>
              <c:numCache>
                <c:formatCode>0.00%</c:formatCode>
                <c:ptCount val="34"/>
                <c:pt idx="1">
                  <c:v>-6.3932474035625894E-2</c:v>
                </c:pt>
                <c:pt idx="2">
                  <c:v>-0.10000057463686357</c:v>
                </c:pt>
                <c:pt idx="3">
                  <c:v>-0.11132914099235967</c:v>
                </c:pt>
                <c:pt idx="4">
                  <c:v>-8.0072863954310167E-2</c:v>
                </c:pt>
                <c:pt idx="5">
                  <c:v>-4.477238028271982E-2</c:v>
                </c:pt>
                <c:pt idx="6">
                  <c:v>-1.3028718417809712E-2</c:v>
                </c:pt>
                <c:pt idx="7">
                  <c:v>4.6996611472065804E-2</c:v>
                </c:pt>
                <c:pt idx="8">
                  <c:v>0.10117546222256092</c:v>
                </c:pt>
                <c:pt idx="9">
                  <c:v>0.1468440183278753</c:v>
                </c:pt>
                <c:pt idx="10">
                  <c:v>0.21031510792208549</c:v>
                </c:pt>
                <c:pt idx="11">
                  <c:v>0.23944533163852405</c:v>
                </c:pt>
                <c:pt idx="12">
                  <c:v>0.25730777681836042</c:v>
                </c:pt>
                <c:pt idx="13">
                  <c:v>0.27954743455949077</c:v>
                </c:pt>
                <c:pt idx="14">
                  <c:v>0.32693977241339534</c:v>
                </c:pt>
                <c:pt idx="15">
                  <c:v>0.35913335175091726</c:v>
                </c:pt>
                <c:pt idx="16">
                  <c:v>0.40834940147705395</c:v>
                </c:pt>
                <c:pt idx="17">
                  <c:v>0.47687582666859796</c:v>
                </c:pt>
                <c:pt idx="18">
                  <c:v>0.4815474697592198</c:v>
                </c:pt>
                <c:pt idx="19">
                  <c:v>0.355399577866091</c:v>
                </c:pt>
                <c:pt idx="20">
                  <c:v>0.39195975315558745</c:v>
                </c:pt>
                <c:pt idx="21">
                  <c:v>0.41864158576891969</c:v>
                </c:pt>
                <c:pt idx="22">
                  <c:v>0.39040650713630698</c:v>
                </c:pt>
                <c:pt idx="23">
                  <c:v>0.37045557906298482</c:v>
                </c:pt>
                <c:pt idx="24">
                  <c:v>0.35827492673573247</c:v>
                </c:pt>
                <c:pt idx="25">
                  <c:v>0.36012396901320964</c:v>
                </c:pt>
                <c:pt idx="26">
                  <c:v>0.39110135390887202</c:v>
                </c:pt>
                <c:pt idx="27">
                  <c:v>0.43368617153394828</c:v>
                </c:pt>
                <c:pt idx="28">
                  <c:v>0.4488666086687142</c:v>
                </c:pt>
                <c:pt idx="29">
                  <c:v>0.46680543159132382</c:v>
                </c:pt>
                <c:pt idx="30">
                  <c:v>0.42821379903072943</c:v>
                </c:pt>
                <c:pt idx="31">
                  <c:v>0.46340103028009016</c:v>
                </c:pt>
                <c:pt idx="32">
                  <c:v>0.47056286093089583</c:v>
                </c:pt>
                <c:pt idx="33">
                  <c:v>0.44938465797394855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A-461D-82E8-D44904752450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Sustainable level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Sheet1!$A$4:$A$38</c:f>
              <c:strCach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strCache>
            </c:strRef>
          </c:cat>
          <c:val>
            <c:numRef>
              <c:f>Sheet1!$D$4:$D$38</c:f>
              <c:numCache>
                <c:formatCode>General</c:formatCode>
                <c:ptCount val="34"/>
                <c:pt idx="0">
                  <c:v>-0.89</c:v>
                </c:pt>
                <c:pt idx="1">
                  <c:v>-0.89</c:v>
                </c:pt>
                <c:pt idx="2">
                  <c:v>-0.89</c:v>
                </c:pt>
                <c:pt idx="3">
                  <c:v>-0.89</c:v>
                </c:pt>
                <c:pt idx="4">
                  <c:v>-0.89</c:v>
                </c:pt>
                <c:pt idx="5">
                  <c:v>-0.89</c:v>
                </c:pt>
                <c:pt idx="6">
                  <c:v>-0.89</c:v>
                </c:pt>
                <c:pt idx="7">
                  <c:v>-0.89</c:v>
                </c:pt>
                <c:pt idx="8">
                  <c:v>-0.89</c:v>
                </c:pt>
                <c:pt idx="9">
                  <c:v>-0.89</c:v>
                </c:pt>
                <c:pt idx="10">
                  <c:v>-0.89</c:v>
                </c:pt>
                <c:pt idx="11">
                  <c:v>-0.89</c:v>
                </c:pt>
                <c:pt idx="12">
                  <c:v>-0.89</c:v>
                </c:pt>
                <c:pt idx="13">
                  <c:v>-0.89</c:v>
                </c:pt>
                <c:pt idx="14">
                  <c:v>-0.89</c:v>
                </c:pt>
                <c:pt idx="15">
                  <c:v>-0.89</c:v>
                </c:pt>
                <c:pt idx="16">
                  <c:v>-0.89</c:v>
                </c:pt>
                <c:pt idx="17">
                  <c:v>-0.89</c:v>
                </c:pt>
                <c:pt idx="18">
                  <c:v>-0.89</c:v>
                </c:pt>
                <c:pt idx="19">
                  <c:v>-0.89</c:v>
                </c:pt>
                <c:pt idx="20">
                  <c:v>-0.89</c:v>
                </c:pt>
                <c:pt idx="21">
                  <c:v>-0.89</c:v>
                </c:pt>
                <c:pt idx="22">
                  <c:v>-0.89</c:v>
                </c:pt>
                <c:pt idx="23">
                  <c:v>-0.89</c:v>
                </c:pt>
                <c:pt idx="24">
                  <c:v>-0.89</c:v>
                </c:pt>
                <c:pt idx="25">
                  <c:v>-0.89</c:v>
                </c:pt>
                <c:pt idx="26">
                  <c:v>-0.89</c:v>
                </c:pt>
                <c:pt idx="27">
                  <c:v>-0.89</c:v>
                </c:pt>
                <c:pt idx="28">
                  <c:v>-0.89</c:v>
                </c:pt>
                <c:pt idx="29">
                  <c:v>-0.89</c:v>
                </c:pt>
                <c:pt idx="30">
                  <c:v>-0.89</c:v>
                </c:pt>
                <c:pt idx="31">
                  <c:v>-0.89</c:v>
                </c:pt>
                <c:pt idx="32">
                  <c:v>-0.89</c:v>
                </c:pt>
                <c:pt idx="33">
                  <c:v>-0.89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2A-461D-82E8-D44904752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675759"/>
        <c:axId val="1395674319"/>
      </c:lineChart>
      <c:catAx>
        <c:axId val="1395675759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54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95674319"/>
        <c:crosses val="autoZero"/>
        <c:auto val="1"/>
        <c:lblAlgn val="ctr"/>
        <c:lblOffset val="100"/>
        <c:noMultiLvlLbl val="0"/>
      </c:catAx>
      <c:valAx>
        <c:axId val="1395674319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95675759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fmlaLink="Calculations!$D$5" lockText="1" noThreeD="1"/>
</file>

<file path=xl/ctrlProps/ctrlProp2.xml><?xml version="1.0" encoding="utf-8"?>
<formControlPr xmlns="http://schemas.microsoft.com/office/spreadsheetml/2009/9/main" objectType="CheckBox" fmlaLink="Calculations!$D$6" lockText="1" noThreeD="1"/>
</file>

<file path=xl/ctrlProps/ctrlProp3.xml><?xml version="1.0" encoding="utf-8"?>
<formControlPr xmlns="http://schemas.microsoft.com/office/spreadsheetml/2009/9/main" objectType="CheckBox" fmlaLink="Calculations!$D$7" lockText="1" noThreeD="1"/>
</file>

<file path=xl/ctrlProps/ctrlProp4.xml><?xml version="1.0" encoding="utf-8"?>
<formControlPr xmlns="http://schemas.microsoft.com/office/spreadsheetml/2009/9/main" objectType="CheckBox" fmlaLink="Calculations!$D$8" lockText="1" noThreeD="1"/>
</file>

<file path=xl/ctrlProps/ctrlProp5.xml><?xml version="1.0" encoding="utf-8"?>
<formControlPr xmlns="http://schemas.microsoft.com/office/spreadsheetml/2009/9/main" objectType="CheckBox" fmlaLink="Calculations!$D$2" lockText="1" noThreeD="1"/>
</file>

<file path=xl/ctrlProps/ctrlProp6.xml><?xml version="1.0" encoding="utf-8"?>
<formControlPr xmlns="http://schemas.microsoft.com/office/spreadsheetml/2009/9/main" objectType="CheckBox" fmlaLink="Calculations!$D$4" lockText="1" noThreeD="1"/>
</file>

<file path=xl/ctrlProps/ctrlProp7.xml><?xml version="1.0" encoding="utf-8"?>
<formControlPr xmlns="http://schemas.microsoft.com/office/spreadsheetml/2009/9/main" objectType="CheckBox" fmlaLink="Calculations!$D$3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194582</xdr:colOff>
      <xdr:row>1</xdr:row>
      <xdr:rowOff>54428</xdr:rowOff>
    </xdr:from>
    <xdr:to>
      <xdr:col>10</xdr:col>
      <xdr:colOff>464004</xdr:colOff>
      <xdr:row>23</xdr:row>
      <xdr:rowOff>78241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D5A5D-86B2-4412-AB27-A8764B4EF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179614</xdr:colOff>
      <xdr:row>25</xdr:row>
      <xdr:rowOff>189139</xdr:rowOff>
    </xdr:from>
    <xdr:to>
      <xdr:col>15</xdr:col>
      <xdr:colOff>125186</xdr:colOff>
      <xdr:row>45</xdr:row>
      <xdr:rowOff>32657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2DB0F15-FFC9-E730-757A-CE13014B483D}"/>
            </a:ext>
          </a:extLst>
        </xdr:cNvPr>
        <xdr:cNvSpPr/>
      </xdr:nvSpPr>
      <xdr:spPr>
        <a:xfrm>
          <a:off x="2618014" y="4951639"/>
          <a:ext cx="6651172" cy="3986893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i-FI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390525</xdr:colOff>
          <xdr:row>33</xdr:row>
          <xdr:rowOff>185737</xdr:rowOff>
        </xdr:from>
        <xdr:to>
          <xdr:col>4</xdr:col>
          <xdr:colOff>0</xdr:colOff>
          <xdr:row>35</xdr:row>
          <xdr:rowOff>14287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Reducing flying by 90%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390525</xdr:colOff>
          <xdr:row>34</xdr:row>
          <xdr:rowOff>171449</xdr:rowOff>
        </xdr:from>
        <xdr:to>
          <xdr:col>3</xdr:col>
          <xdr:colOff>381000</xdr:colOff>
          <xdr:row>36</xdr:row>
          <xdr:rowOff>180974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Green steel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390525</xdr:colOff>
          <xdr:row>36</xdr:row>
          <xdr:rowOff>147636</xdr:rowOff>
        </xdr:from>
        <xdr:to>
          <xdr:col>3</xdr:col>
          <xdr:colOff>428625</xdr:colOff>
          <xdr:row>38</xdr:row>
          <xdr:rowOff>138111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Reducing textile/fashion usage by 90%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390525</xdr:colOff>
          <xdr:row>38</xdr:row>
          <xdr:rowOff>104775</xdr:rowOff>
        </xdr:from>
        <xdr:to>
          <xdr:col>3</xdr:col>
          <xdr:colOff>476250</xdr:colOff>
          <xdr:row>40</xdr:row>
          <xdr:rowOff>47625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Other goods and services -90%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390526</xdr:colOff>
          <xdr:row>29</xdr:row>
          <xdr:rowOff>28575</xdr:rowOff>
        </xdr:from>
        <xdr:to>
          <xdr:col>5</xdr:col>
          <xdr:colOff>85726</xdr:colOff>
          <xdr:row>31</xdr:row>
          <xdr:rowOff>95250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Make population eat a planetary diet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390525</xdr:colOff>
          <xdr:row>32</xdr:row>
          <xdr:rowOff>76200</xdr:rowOff>
        </xdr:from>
        <xdr:to>
          <xdr:col>3</xdr:col>
          <xdr:colOff>409575</xdr:colOff>
          <xdr:row>33</xdr:row>
          <xdr:rowOff>247650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100% renewable heat production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390525</xdr:colOff>
          <xdr:row>30</xdr:row>
          <xdr:rowOff>280988</xdr:rowOff>
        </xdr:from>
        <xdr:to>
          <xdr:col>3</xdr:col>
          <xdr:colOff>561975</xdr:colOff>
          <xdr:row>32</xdr:row>
          <xdr:rowOff>109538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Reducing private car use by 90% 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352425</xdr:colOff>
      <xdr:row>29</xdr:row>
      <xdr:rowOff>23812</xdr:rowOff>
    </xdr:from>
    <xdr:to>
      <xdr:col>13</xdr:col>
      <xdr:colOff>47625</xdr:colOff>
      <xdr:row>41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26F8D9-3455-E13E-270D-B1F359FFA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0.08125</cdr:x>
      <cdr:y>0.72049</cdr:y>
    </cdr:from>
    <cdr:to>
      <cdr:x>0.95208</cdr:x>
      <cdr:y>0.72049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7AA94F11-86F9-1326-1278-46504386E3CF}"/>
            </a:ext>
          </a:extLst>
        </cdr:cNvPr>
        <cdr:cNvCxnSpPr/>
      </cdr:nvCxnSpPr>
      <cdr:spPr>
        <a:xfrm xmlns:a="http://schemas.openxmlformats.org/drawingml/2006/main" flipH="1">
          <a:off x="371475" y="1976438"/>
          <a:ext cx="3981450" cy="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6">
              <a:lumMod val="50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1647824</xdr:colOff>
      <xdr:row>39</xdr:row>
      <xdr:rowOff>71436</xdr:rowOff>
    </xdr:from>
    <xdr:to>
      <xdr:col>8</xdr:col>
      <xdr:colOff>409574</xdr:colOff>
      <xdr:row>61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FDAB82-3AF8-23E4-F4FD-CD677B49B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i Luoma" refreshedDate="46018.505514814817" createdVersion="8" refreshedVersion="8" minRefreshableVersion="3" recordCount="34" xr:uid="{536F1D73-A37E-4768-8828-297543F58931}">
  <cacheSource type="worksheet">
    <worksheetSource name="Table6"/>
  </cacheSource>
  <cacheFields count="7">
    <cacheField name="Year" numFmtId="0">
      <sharedItems containsSemiMixedTypes="0" containsString="0" containsNumber="1" containsInteger="1" minValue="1990" maxValue="2023" count="34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Per capita consumption-based CO₂ emissions" numFmtId="0">
      <sharedItems containsSemiMixedTypes="0" containsString="0" containsNumber="1" minValue="8.4735709999999997" maxValue="20.635195"/>
    </cacheField>
    <cacheField name="GDP per capita" numFmtId="0">
      <sharedItems containsSemiMixedTypes="0" containsString="0" containsNumber="1" minValue="34486.754000000001" maxValue="57494.586000000003"/>
    </cacheField>
    <cacheField name="LULUCF" numFmtId="0">
      <sharedItems/>
    </cacheField>
    <cacheField name="LULUCF per capita" numFmtId="0">
      <sharedItems containsSemiMixedTypes="0" containsString="0" containsNumber="1" minValue="-8.8396452334704653E-3" maxValue="9.9725279658125789E-4"/>
    </cacheField>
    <cacheField name="CBE CO2 per capita incl. LULUCF" numFmtId="0">
      <sharedItems containsSemiMixedTypes="0" containsString="0" containsNumber="1" minValue="8.4743838637065192" maxValue="20.627556782535013"/>
    </cacheField>
    <cacheField name="Sustainable level" numFmtId="0">
      <sharedItems containsSemiMixedTypes="0" containsString="0" containsNumber="1" minValue="-0.89" maxValue="-0.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n v="17.773579000000002"/>
    <n v="38807.116999999998"/>
    <s v="-31931"/>
    <n v="-6.4033918263754529E-3"/>
    <n v="17.767175608173627"/>
    <n v="-0.89"/>
  </r>
  <r>
    <x v="1"/>
    <n v="16.156707999999998"/>
    <n v="36326.082000000002"/>
    <s v="-44321"/>
    <n v="-8.8396452334704653E-3"/>
    <n v="16.147868354766526"/>
    <n v="-0.89"/>
  </r>
  <r>
    <x v="2"/>
    <n v="20.635195"/>
    <n v="34926.383000000002"/>
    <s v="-38513"/>
    <n v="-7.6382174649876197E-3"/>
    <n v="20.627556782535013"/>
    <n v="-0.89"/>
  </r>
  <r>
    <x v="3"/>
    <n v="17.44481"/>
    <n v="34486.754000000001"/>
    <s v="-39737"/>
    <n v="-7.8429414316600072E-3"/>
    <n v="17.436967058568339"/>
    <n v="-0.89"/>
  </r>
  <r>
    <x v="4"/>
    <n v="16.490786"/>
    <n v="35699.72"/>
    <s v="-33480"/>
    <n v="-6.5796015842925961E-3"/>
    <n v="16.484206398415708"/>
    <n v="-0.89"/>
  </r>
  <r>
    <x v="5"/>
    <n v="15.953912000000001"/>
    <n v="37069.629999999997"/>
    <s v="-32093"/>
    <n v="-6.2829892173309719E-3"/>
    <n v="15.94762901078267"/>
    <n v="-0.89"/>
  </r>
  <r>
    <x v="6"/>
    <n v="14.793569"/>
    <n v="38301.51"/>
    <s v="-39264"/>
    <n v="-7.6616943576374493E-3"/>
    <n v="14.785907305642363"/>
    <n v="-0.89"/>
  </r>
  <r>
    <x v="7"/>
    <n v="13.402668"/>
    <n v="40630.92"/>
    <s v="-35705"/>
    <n v="-6.9465967123657595E-3"/>
    <n v="13.395721403287634"/>
    <n v="-0.89"/>
  </r>
  <r>
    <x v="8"/>
    <n v="13.432869"/>
    <n v="42733.445"/>
    <s v="-33046"/>
    <n v="-6.4122851357657686E-3"/>
    <n v="13.426456714864234"/>
    <n v="-0.89"/>
  </r>
  <r>
    <x v="9"/>
    <n v="14.024222999999999"/>
    <n v="44505.71"/>
    <s v="-33068"/>
    <n v="-6.4016837814460355E-3"/>
    <n v="14.017821316218553"/>
    <n v="-0.89"/>
  </r>
  <r>
    <x v="10"/>
    <n v="15.064202"/>
    <n v="46968.84"/>
    <s v="-33046"/>
    <n v="-6.3842237843729673E-3"/>
    <n v="15.057817776215627"/>
    <n v="-0.89"/>
  </r>
  <r>
    <x v="11"/>
    <n v="15.513823"/>
    <n v="48099.3"/>
    <s v="-33354"/>
    <n v="-6.4291042546506631E-3"/>
    <n v="15.50739389574535"/>
    <n v="-0.89"/>
  </r>
  <r>
    <x v="12"/>
    <n v="15.487036"/>
    <n v="48792.49"/>
    <s v="-34273"/>
    <n v="-6.590267025705753E-3"/>
    <n v="15.480445732974294"/>
    <n v="-0.89"/>
  </r>
  <r>
    <x v="13"/>
    <n v="17.463557999999999"/>
    <n v="49655.546999999999"/>
    <s v="-35264"/>
    <n v="-6.7646813958600858E-3"/>
    <n v="17.456793318604138"/>
    <n v="-0.89"/>
  </r>
  <r>
    <x v="14"/>
    <n v="16.722314999999998"/>
    <n v="51494.707000000002"/>
    <s v="-37317"/>
    <n v="-7.1377105502198005E-3"/>
    <n v="16.715177289449777"/>
    <n v="-0.89"/>
  </r>
  <r>
    <x v="15"/>
    <n v="15.921583999999999"/>
    <n v="52744.046999999999"/>
    <s v="-37381"/>
    <n v="-7.1255135741405294E-3"/>
    <n v="15.914458486425859"/>
    <n v="-0.89"/>
  </r>
  <r>
    <x v="16"/>
    <n v="17.151033000000002"/>
    <n v="54653.98"/>
    <s v="-41334"/>
    <n v="-7.8488517821416696E-3"/>
    <n v="17.143184148217859"/>
    <n v="-0.89"/>
  </r>
  <r>
    <x v="17"/>
    <n v="16.896522999999998"/>
    <n v="57313.292999999998"/>
    <s v="-31755"/>
    <n v="-6.0042940487434089E-3"/>
    <n v="16.890518705951255"/>
    <n v="-0.89"/>
  </r>
  <r>
    <x v="18"/>
    <n v="15.854468000000001"/>
    <n v="57494.586000000003"/>
    <s v="-34819"/>
    <n v="-6.5530804409021075E-3"/>
    <n v="15.847914919559098"/>
    <n v="-0.89"/>
  </r>
  <r>
    <x v="19"/>
    <n v="13.933142999999999"/>
    <n v="52599.15"/>
    <s v="-45837"/>
    <n v="-8.5855503821606668E-3"/>
    <n v="13.924557449617838"/>
    <n v="-0.89"/>
  </r>
  <r>
    <x v="20"/>
    <n v="16.25798"/>
    <n v="54017.945"/>
    <s v="-33857"/>
    <n v="-6.3126625966956826E-3"/>
    <n v="16.251667337403305"/>
    <n v="-0.89"/>
  </r>
  <r>
    <x v="21"/>
    <n v="13.680676999999999"/>
    <n v="55053.39"/>
    <s v="-33142"/>
    <n v="-6.1508070544794248E-3"/>
    <n v="13.674526192945519"/>
    <n v="-0.89"/>
  </r>
  <r>
    <x v="22"/>
    <n v="13.026569"/>
    <n v="53957.667999999998"/>
    <s v="-34781"/>
    <n v="-6.424296515427288E-3"/>
    <n v="13.020144703484574"/>
    <n v="-0.89"/>
  </r>
  <r>
    <x v="23"/>
    <n v="12.403442"/>
    <n v="53183.43"/>
    <s v="-27694"/>
    <n v="-5.0916914457781928E-3"/>
    <n v="12.398350308554221"/>
    <n v="-0.89"/>
  </r>
  <r>
    <x v="24"/>
    <n v="11.42572"/>
    <n v="52710.733999999997"/>
    <s v="-28599"/>
    <n v="-5.2362951659981919E-3"/>
    <n v="11.420483704834002"/>
    <n v="-0.89"/>
  </r>
  <r>
    <x v="25"/>
    <n v="10.302790999999999"/>
    <n v="52782.49"/>
    <s v="-23463"/>
    <n v="-4.2817889019491689E-3"/>
    <n v="10.29850921109805"/>
    <n v="-0.89"/>
  </r>
  <r>
    <x v="26"/>
    <n v="10.774596000000001"/>
    <n v="53984.633000000002"/>
    <s v="-18333"/>
    <n v="-3.3360216090786081E-3"/>
    <n v="10.771259978390923"/>
    <n v="-0.89"/>
  </r>
  <r>
    <x v="27"/>
    <n v="10.768594999999999"/>
    <n v="55637.226999999999"/>
    <s v="-13266"/>
    <n v="-2.4083227101600138E-3"/>
    <n v="10.76618667728984"/>
    <n v="-0.89"/>
  </r>
  <r>
    <x v="28"/>
    <n v="11.143822999999999"/>
    <n v="56226.336000000003"/>
    <s v="-764"/>
    <n v="-1.3851294388956674E-4"/>
    <n v="11.14368448705611"/>
    <n v="-0.89"/>
  </r>
  <r>
    <x v="29"/>
    <n v="10.247757999999999"/>
    <n v="56922.49"/>
    <s v="-4086"/>
    <n v="-7.3998225926037275E-4"/>
    <n v="10.247018017740739"/>
    <n v="-0.89"/>
  </r>
  <r>
    <x v="30"/>
    <n v="9.2471770000000006"/>
    <n v="55424.86"/>
    <s v="-4953"/>
    <n v="-8.9572223460001558E-4"/>
    <n v="9.2462812777653998"/>
    <n v="-0.89"/>
  </r>
  <r>
    <x v="31"/>
    <n v="9.8892570000000006"/>
    <n v="56790.375"/>
    <s v="5166"/>
    <n v="9.3231107571481247E-4"/>
    <n v="9.8901893110757158"/>
    <n v="-0.89"/>
  </r>
  <r>
    <x v="32"/>
    <n v="9.4741940000000007"/>
    <n v="57068.305"/>
    <s v="5554"/>
    <n v="9.9725279658125789E-4"/>
    <n v="9.4751912527965825"/>
    <n v="-0.89"/>
  </r>
  <r>
    <x v="33"/>
    <n v="8.4735709999999997"/>
    <n v="56246.44"/>
    <s v="4553"/>
    <n v="8.1286370651924549E-4"/>
    <n v="8.4743838637065192"/>
    <n v="-0.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8A450-7681-48AD-BC05-5CED7B3185FC}" name="PivotTable1" cacheId="2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9">
  <location ref="A3:D38" firstHeaderRow="0" firstDataRow="1" firstDataCol="1"/>
  <pivotFields count="7"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2 footprint per capita incl. LULUCF " fld="5" showDataAs="percentDiff" baseField="0" baseItem="0" numFmtId="10"/>
    <dataField name="GDP per capita " fld="2" showDataAs="percentDiff" baseField="0" baseItem="0" numFmtId="10"/>
    <dataField name="Sustainable level " fld="6" baseField="0" baseItem="0"/>
  </dataFields>
  <chartFormats count="9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27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A59728-0104-4D73-A61E-69386AF12BE7}" autoFormatId="16" applyNumberFormats="0" applyBorderFormats="0" applyFontFormats="0" applyPatternFormats="0" applyAlignmentFormats="0" applyWidthHeightFormats="0">
  <queryTableRefresh nextId="8">
    <queryTableFields count="6">
      <queryTableField id="1" name="Entity" tableColumnId="1"/>
      <queryTableField id="2" name="Code" tableColumnId="2"/>
      <queryTableField id="3" name="Year" tableColumnId="3"/>
      <queryTableField id="4" name="Per capita consumption-based CO₂ emissions" tableColumnId="4"/>
      <queryTableField id="5" name="GDP per capita, PPP (constant 2021 international $)" tableColumnId="5"/>
      <queryTableField id="6" name="Population (historical)" tableColumnId="6"/>
    </queryTableFields>
    <queryTableDeletedFields count="1">
      <deletedField name="World region according to OW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C798CAE-9A1F-420E-8BB3-F0E90E12177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4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350112-E8A3-4A6F-A150-ABAD9E7F1D73}" name="consumption_co2_per_capita_vs_gdppc" displayName="consumption_co2_per_capita_vs_gdppc" ref="A1:F263" tableType="queryTable" totalsRowShown="0">
  <autoFilter ref="A1:F263" xr:uid="{66350112-E8A3-4A6F-A150-ABAD9E7F1D73}"/>
  <sortState xmlns:xlrd2="http://schemas.microsoft.com/office/spreadsheetml/2017/richdata2" ref="A2:F263">
    <sortCondition ref="C1:C263"/>
  </sortState>
  <tableColumns count="6">
    <tableColumn id="1" xr3:uid="{23237C56-6723-4C4E-86BB-B74F5A2F6301}" uniqueName="1" name="Entity" queryTableFieldId="1" dataDxfId="14"/>
    <tableColumn id="2" xr3:uid="{9DAE5593-76E3-4EBB-BC76-D072BE82EE14}" uniqueName="2" name="Code" queryTableFieldId="2" dataDxfId="13"/>
    <tableColumn id="3" xr3:uid="{C1483021-7AB0-4EF6-8B49-33364CFBADF9}" uniqueName="3" name="Year" queryTableFieldId="3"/>
    <tableColumn id="4" xr3:uid="{4DAE1985-30B1-46DE-A746-2C52B22DB0DB}" uniqueName="4" name="Per capita consumption-based CO₂ emissions" queryTableFieldId="4" dataDxfId="12"/>
    <tableColumn id="5" xr3:uid="{C2041544-52E5-4A65-8BFA-39FC95806343}" uniqueName="5" name="GDP per capita, PPP (constant 2021 international $)" queryTableFieldId="5" dataDxfId="11"/>
    <tableColumn id="6" xr3:uid="{7E97AF50-3DC8-49D8-8B92-741459F65F66}" uniqueName="6" name="Population (historical)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7ACDA0-0334-4E8E-BC82-1C3D7D65DEB8}" name="LULUCF_FI" displayName="LULUCF_FI" ref="A1:B38" tableType="queryTable" totalsRowShown="0">
  <autoFilter ref="A1:B38" xr:uid="{D17ACDA0-0334-4E8E-BC82-1C3D7D65DEB8}"/>
  <tableColumns count="2">
    <tableColumn id="1" xr3:uid="{F27B49D4-35AE-4558-A06D-616656242189}" uniqueName="1" name="Column1" queryTableFieldId="1" dataDxfId="10"/>
    <tableColumn id="2" xr3:uid="{22DE6FB4-710B-4648-9E89-9BBA83F077DB}" uniqueName="2" name="Column4" queryTableFieldId="2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2FBC8C-24E9-4DD4-97D1-82995547D07B}" name="Table6" displayName="Table6" ref="B13:H47" totalsRowShown="0" headerRowDxfId="1" dataDxfId="2">
  <autoFilter ref="B13:H47" xr:uid="{5A2FBC8C-24E9-4DD4-97D1-82995547D07B}"/>
  <tableColumns count="7">
    <tableColumn id="1" xr3:uid="{A13B746E-0AE3-496E-8334-F22FA9AB1995}" name="Year" dataDxfId="8"/>
    <tableColumn id="2" xr3:uid="{562F4C6A-6E7B-4921-9D3B-41098B5581F1}" name="Per capita consumption-based CO₂ emissions" dataDxfId="7">
      <calculatedColumnFormula>Data_processed!D2</calculatedColumnFormula>
    </tableColumn>
    <tableColumn id="3" xr3:uid="{D8837A20-7ACC-46FF-A238-1147CB4D46D8}" name="GDP per capita" dataDxfId="6">
      <calculatedColumnFormula>Data_processed!E2</calculatedColumnFormula>
    </tableColumn>
    <tableColumn id="5" xr3:uid="{8E7CCC56-2B02-435A-A458-1B0110BB7A14}" name="LULUCF" dataDxfId="5">
      <calculatedColumnFormula>LULUCF_FI!B5</calculatedColumnFormula>
    </tableColumn>
    <tableColumn id="6" xr3:uid="{7392FA3F-4E7E-4CAA-B574-69BA935EF3D2}" name="LULUCF per capita" dataDxfId="4">
      <calculatedColumnFormula>E14/Data_processed!F2</calculatedColumnFormula>
    </tableColumn>
    <tableColumn id="7" xr3:uid="{B6EB4C70-2589-44EB-83C8-6DFEA2B38569}" name="CBE CO2 per capita incl. LULUCF" dataDxfId="3">
      <calculatedColumnFormula>C14+F14</calculatedColumnFormula>
    </tableColumn>
    <tableColumn id="8" xr3:uid="{B5978E57-C8E1-48BC-A33B-E158B83CE363}" name="Sustainable 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1:G35"/>
  <sheetViews>
    <sheetView showGridLines="0" tabSelected="1" zoomScaleNormal="100" workbookViewId="0">
      <selection activeCell="B47" sqref="B47"/>
    </sheetView>
  </sheetViews>
  <sheetFormatPr defaultRowHeight="15" x14ac:dyDescent="0.25"/>
  <sheetData>
    <row r="31" spans="2:7" ht="26.25" x14ac:dyDescent="0.4">
      <c r="B31" s="21"/>
      <c r="C31" s="22"/>
      <c r="D31" s="22"/>
      <c r="E31" s="22"/>
      <c r="F31" s="22"/>
      <c r="G31" s="22"/>
    </row>
    <row r="32" spans="2:7" ht="18.75" x14ac:dyDescent="0.3">
      <c r="B32" s="22"/>
      <c r="C32" s="22"/>
      <c r="D32" s="22"/>
      <c r="E32" s="22"/>
      <c r="F32" s="22"/>
      <c r="G32" s="23"/>
    </row>
    <row r="33" spans="2:7" x14ac:dyDescent="0.25">
      <c r="B33" s="22"/>
      <c r="C33" s="22"/>
      <c r="D33" s="22"/>
      <c r="E33" s="22"/>
      <c r="F33" s="22"/>
      <c r="G33" s="22"/>
    </row>
    <row r="34" spans="2:7" ht="26.25" x14ac:dyDescent="0.4">
      <c r="B34" s="21"/>
      <c r="C34" s="22"/>
      <c r="D34" s="22"/>
      <c r="E34" s="22"/>
      <c r="F34" s="22"/>
      <c r="G34" s="22"/>
    </row>
    <row r="35" spans="2:7" x14ac:dyDescent="0.25">
      <c r="B35" s="22"/>
      <c r="C35" s="22"/>
      <c r="D35" s="22"/>
      <c r="E35" s="22"/>
      <c r="F35" s="22"/>
      <c r="G35" s="22"/>
    </row>
  </sheetData>
  <conditionalFormatting sqref="B3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{90112C99-27BD-48CD-A276-1480F6D03249}</x14:id>
        </ext>
      </extLs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8" r:id="rId3" name="Check Box 10">
              <controlPr defaultSize="0" autoFill="0" autoLine="0" autoPict="0">
                <anchor moveWithCells="1">
                  <from>
                    <xdr:col>0</xdr:col>
                    <xdr:colOff>390525</xdr:colOff>
                    <xdr:row>33</xdr:row>
                    <xdr:rowOff>180975</xdr:rowOff>
                  </from>
                  <to>
                    <xdr:col>4</xdr:col>
                    <xdr:colOff>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4" name="Check Box 11">
              <controlPr defaultSize="0" autoFill="0" autoLine="0" autoPict="0">
                <anchor moveWithCells="1">
                  <from>
                    <xdr:col>0</xdr:col>
                    <xdr:colOff>390525</xdr:colOff>
                    <xdr:row>34</xdr:row>
                    <xdr:rowOff>171450</xdr:rowOff>
                  </from>
                  <to>
                    <xdr:col>3</xdr:col>
                    <xdr:colOff>381000</xdr:colOff>
                    <xdr:row>36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5" name="Check Box 12">
              <controlPr defaultSize="0" autoFill="0" autoLine="0" autoPict="0">
                <anchor moveWithCells="1">
                  <from>
                    <xdr:col>0</xdr:col>
                    <xdr:colOff>390525</xdr:colOff>
                    <xdr:row>36</xdr:row>
                    <xdr:rowOff>142875</xdr:rowOff>
                  </from>
                  <to>
                    <xdr:col>3</xdr:col>
                    <xdr:colOff>428625</xdr:colOff>
                    <xdr:row>38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6" name="Check Box 13">
              <controlPr defaultSize="0" autoFill="0" autoLine="0" autoPict="0">
                <anchor moveWithCells="1">
                  <from>
                    <xdr:col>0</xdr:col>
                    <xdr:colOff>390525</xdr:colOff>
                    <xdr:row>38</xdr:row>
                    <xdr:rowOff>104775</xdr:rowOff>
                  </from>
                  <to>
                    <xdr:col>3</xdr:col>
                    <xdr:colOff>476250</xdr:colOff>
                    <xdr:row>40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7" name="Check Box 17">
              <controlPr defaultSize="0" autoFill="0" autoLine="0" autoPict="0">
                <anchor moveWithCells="1">
                  <from>
                    <xdr:col>0</xdr:col>
                    <xdr:colOff>390525</xdr:colOff>
                    <xdr:row>29</xdr:row>
                    <xdr:rowOff>28575</xdr:rowOff>
                  </from>
                  <to>
                    <xdr:col>5</xdr:col>
                    <xdr:colOff>85725</xdr:colOff>
                    <xdr:row>31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8" name="Check Box 18">
              <controlPr defaultSize="0" autoFill="0" autoLine="0" autoPict="0">
                <anchor moveWithCells="1">
                  <from>
                    <xdr:col>0</xdr:col>
                    <xdr:colOff>390525</xdr:colOff>
                    <xdr:row>32</xdr:row>
                    <xdr:rowOff>76200</xdr:rowOff>
                  </from>
                  <to>
                    <xdr:col>3</xdr:col>
                    <xdr:colOff>409575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9" name="Check Box 19">
              <controlPr defaultSize="0" autoFill="0" autoLine="0" autoPict="0">
                <anchor moveWithCells="1">
                  <from>
                    <xdr:col>0</xdr:col>
                    <xdr:colOff>390525</xdr:colOff>
                    <xdr:row>30</xdr:row>
                    <xdr:rowOff>285750</xdr:rowOff>
                  </from>
                  <to>
                    <xdr:col>3</xdr:col>
                    <xdr:colOff>561975</xdr:colOff>
                    <xdr:row>32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112C99-27BD-48CD-A276-1480F6D032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BC7F-146F-49D1-AC4B-986F53E9E3BF}">
  <dimension ref="A1:F36"/>
  <sheetViews>
    <sheetView workbookViewId="0">
      <selection activeCell="D42" sqref="D42"/>
    </sheetView>
  </sheetViews>
  <sheetFormatPr defaultRowHeight="15" x14ac:dyDescent="0.25"/>
  <cols>
    <col min="1" max="1" width="8.42578125" bestFit="1" customWidth="1"/>
    <col min="2" max="2" width="7.85546875" bestFit="1" customWidth="1"/>
    <col min="3" max="3" width="7.28515625" bestFit="1" customWidth="1"/>
    <col min="4" max="4" width="44" bestFit="1" customWidth="1"/>
    <col min="5" max="5" width="49.28515625" bestFit="1" customWidth="1"/>
    <col min="6" max="6" width="2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8</v>
      </c>
      <c r="C2">
        <v>1990</v>
      </c>
      <c r="D2">
        <v>17.773579000000002</v>
      </c>
      <c r="E2">
        <v>38807.116999999998</v>
      </c>
      <c r="F2">
        <v>4986576</v>
      </c>
    </row>
    <row r="3" spans="1:6" x14ac:dyDescent="0.25">
      <c r="A3" t="s">
        <v>7</v>
      </c>
      <c r="B3" t="s">
        <v>8</v>
      </c>
      <c r="C3">
        <v>1991</v>
      </c>
      <c r="D3">
        <v>16.156707999999998</v>
      </c>
      <c r="E3">
        <v>36326.082000000002</v>
      </c>
      <c r="F3">
        <v>5013889</v>
      </c>
    </row>
    <row r="4" spans="1:6" x14ac:dyDescent="0.25">
      <c r="A4" t="s">
        <v>7</v>
      </c>
      <c r="B4" t="s">
        <v>8</v>
      </c>
      <c r="C4">
        <v>1992</v>
      </c>
      <c r="D4">
        <v>20.635195</v>
      </c>
      <c r="E4">
        <v>34926.383000000002</v>
      </c>
      <c r="F4">
        <v>5042145</v>
      </c>
    </row>
    <row r="5" spans="1:6" x14ac:dyDescent="0.25">
      <c r="A5" t="s">
        <v>7</v>
      </c>
      <c r="B5" t="s">
        <v>8</v>
      </c>
      <c r="C5">
        <v>1993</v>
      </c>
      <c r="D5">
        <v>17.44481</v>
      </c>
      <c r="E5">
        <v>34486.754000000001</v>
      </c>
      <c r="F5">
        <v>5066594</v>
      </c>
    </row>
    <row r="6" spans="1:6" x14ac:dyDescent="0.25">
      <c r="A6" t="s">
        <v>7</v>
      </c>
      <c r="B6" t="s">
        <v>8</v>
      </c>
      <c r="C6">
        <v>1994</v>
      </c>
      <c r="D6">
        <v>16.490786</v>
      </c>
      <c r="E6">
        <v>35699.72</v>
      </c>
      <c r="F6">
        <v>5088454</v>
      </c>
    </row>
    <row r="7" spans="1:6" x14ac:dyDescent="0.25">
      <c r="A7" t="s">
        <v>7</v>
      </c>
      <c r="B7" t="s">
        <v>8</v>
      </c>
      <c r="C7">
        <v>1995</v>
      </c>
      <c r="D7">
        <v>15.953912000000001</v>
      </c>
      <c r="E7">
        <v>37069.629999999997</v>
      </c>
      <c r="F7">
        <v>5107919</v>
      </c>
    </row>
    <row r="8" spans="1:6" x14ac:dyDescent="0.25">
      <c r="A8" t="s">
        <v>7</v>
      </c>
      <c r="B8" t="s">
        <v>8</v>
      </c>
      <c r="C8">
        <v>1996</v>
      </c>
      <c r="D8">
        <v>14.793569</v>
      </c>
      <c r="E8">
        <v>38301.51</v>
      </c>
      <c r="F8">
        <v>5124715</v>
      </c>
    </row>
    <row r="9" spans="1:6" x14ac:dyDescent="0.25">
      <c r="A9" t="s">
        <v>7</v>
      </c>
      <c r="B9" t="s">
        <v>8</v>
      </c>
      <c r="C9">
        <v>1997</v>
      </c>
      <c r="D9">
        <v>13.402668</v>
      </c>
      <c r="E9">
        <v>40630.92</v>
      </c>
      <c r="F9">
        <v>5139927</v>
      </c>
    </row>
    <row r="10" spans="1:6" x14ac:dyDescent="0.25">
      <c r="A10" t="s">
        <v>7</v>
      </c>
      <c r="B10" t="s">
        <v>8</v>
      </c>
      <c r="C10">
        <v>1998</v>
      </c>
      <c r="D10">
        <v>13.432869</v>
      </c>
      <c r="E10">
        <v>42733.445</v>
      </c>
      <c r="F10">
        <v>5153545</v>
      </c>
    </row>
    <row r="11" spans="1:6" x14ac:dyDescent="0.25">
      <c r="A11" t="s">
        <v>7</v>
      </c>
      <c r="B11" t="s">
        <v>8</v>
      </c>
      <c r="C11">
        <v>1999</v>
      </c>
      <c r="D11">
        <v>14.024222999999999</v>
      </c>
      <c r="E11">
        <v>44505.71</v>
      </c>
      <c r="F11">
        <v>5165516</v>
      </c>
    </row>
    <row r="12" spans="1:6" x14ac:dyDescent="0.25">
      <c r="A12" t="s">
        <v>7</v>
      </c>
      <c r="B12" t="s">
        <v>8</v>
      </c>
      <c r="C12">
        <v>2000</v>
      </c>
      <c r="D12">
        <v>15.064202</v>
      </c>
      <c r="E12">
        <v>46968.84</v>
      </c>
      <c r="F12">
        <v>5176197</v>
      </c>
    </row>
    <row r="13" spans="1:6" x14ac:dyDescent="0.25">
      <c r="A13" t="s">
        <v>7</v>
      </c>
      <c r="B13" t="s">
        <v>8</v>
      </c>
      <c r="C13">
        <v>2001</v>
      </c>
      <c r="D13">
        <v>15.513823</v>
      </c>
      <c r="E13">
        <v>48099.3</v>
      </c>
      <c r="F13">
        <v>5187970</v>
      </c>
    </row>
    <row r="14" spans="1:6" x14ac:dyDescent="0.25">
      <c r="A14" t="s">
        <v>7</v>
      </c>
      <c r="B14" t="s">
        <v>8</v>
      </c>
      <c r="C14">
        <v>2002</v>
      </c>
      <c r="D14">
        <v>15.487036</v>
      </c>
      <c r="E14">
        <v>48792.49</v>
      </c>
      <c r="F14">
        <v>5200548</v>
      </c>
    </row>
    <row r="15" spans="1:6" x14ac:dyDescent="0.25">
      <c r="A15" t="s">
        <v>7</v>
      </c>
      <c r="B15" t="s">
        <v>8</v>
      </c>
      <c r="C15">
        <v>2003</v>
      </c>
      <c r="D15">
        <v>17.463557999999999</v>
      </c>
      <c r="E15">
        <v>49655.546999999999</v>
      </c>
      <c r="F15">
        <v>5212958</v>
      </c>
    </row>
    <row r="16" spans="1:6" x14ac:dyDescent="0.25">
      <c r="A16" t="s">
        <v>7</v>
      </c>
      <c r="B16" t="s">
        <v>8</v>
      </c>
      <c r="C16">
        <v>2004</v>
      </c>
      <c r="D16">
        <v>16.722314999999998</v>
      </c>
      <c r="E16">
        <v>51494.707000000002</v>
      </c>
      <c r="F16">
        <v>5228147</v>
      </c>
    </row>
    <row r="17" spans="1:6" x14ac:dyDescent="0.25">
      <c r="A17" t="s">
        <v>7</v>
      </c>
      <c r="B17" t="s">
        <v>8</v>
      </c>
      <c r="C17">
        <v>2005</v>
      </c>
      <c r="D17">
        <v>15.921583999999999</v>
      </c>
      <c r="E17">
        <v>52744.046999999999</v>
      </c>
      <c r="F17">
        <v>5246078</v>
      </c>
    </row>
    <row r="18" spans="1:6" x14ac:dyDescent="0.25">
      <c r="A18" t="s">
        <v>7</v>
      </c>
      <c r="B18" t="s">
        <v>8</v>
      </c>
      <c r="C18">
        <v>2006</v>
      </c>
      <c r="D18">
        <v>17.151033000000002</v>
      </c>
      <c r="E18">
        <v>54653.98</v>
      </c>
      <c r="F18">
        <v>5266248</v>
      </c>
    </row>
    <row r="19" spans="1:6" x14ac:dyDescent="0.25">
      <c r="A19" t="s">
        <v>7</v>
      </c>
      <c r="B19" t="s">
        <v>8</v>
      </c>
      <c r="C19">
        <v>2007</v>
      </c>
      <c r="D19">
        <v>16.896522999999998</v>
      </c>
      <c r="E19">
        <v>57313.292999999998</v>
      </c>
      <c r="F19">
        <v>5288715</v>
      </c>
    </row>
    <row r="20" spans="1:6" x14ac:dyDescent="0.25">
      <c r="A20" t="s">
        <v>7</v>
      </c>
      <c r="B20" t="s">
        <v>8</v>
      </c>
      <c r="C20">
        <v>2008</v>
      </c>
      <c r="D20">
        <v>15.854468000000001</v>
      </c>
      <c r="E20">
        <v>57494.586000000003</v>
      </c>
      <c r="F20">
        <v>5313379</v>
      </c>
    </row>
    <row r="21" spans="1:6" x14ac:dyDescent="0.25">
      <c r="A21" t="s">
        <v>7</v>
      </c>
      <c r="B21" t="s">
        <v>8</v>
      </c>
      <c r="C21">
        <v>2009</v>
      </c>
      <c r="D21">
        <v>13.933142999999999</v>
      </c>
      <c r="E21">
        <v>52599.15</v>
      </c>
      <c r="F21">
        <v>5338854</v>
      </c>
    </row>
    <row r="22" spans="1:6" x14ac:dyDescent="0.25">
      <c r="A22" t="s">
        <v>7</v>
      </c>
      <c r="B22" t="s">
        <v>8</v>
      </c>
      <c r="C22">
        <v>2010</v>
      </c>
      <c r="D22">
        <v>16.25798</v>
      </c>
      <c r="E22">
        <v>54017.945</v>
      </c>
      <c r="F22">
        <v>5363347</v>
      </c>
    </row>
    <row r="23" spans="1:6" x14ac:dyDescent="0.25">
      <c r="A23" t="s">
        <v>7</v>
      </c>
      <c r="B23" t="s">
        <v>8</v>
      </c>
      <c r="C23">
        <v>2011</v>
      </c>
      <c r="D23">
        <v>13.680676999999999</v>
      </c>
      <c r="E23">
        <v>55053.39</v>
      </c>
      <c r="F23">
        <v>5388236</v>
      </c>
    </row>
    <row r="24" spans="1:6" x14ac:dyDescent="0.25">
      <c r="A24" t="s">
        <v>7</v>
      </c>
      <c r="B24" t="s">
        <v>8</v>
      </c>
      <c r="C24">
        <v>2012</v>
      </c>
      <c r="D24">
        <v>13.026569</v>
      </c>
      <c r="E24">
        <v>53957.667999999998</v>
      </c>
      <c r="F24">
        <v>5413978</v>
      </c>
    </row>
    <row r="25" spans="1:6" x14ac:dyDescent="0.25">
      <c r="A25" t="s">
        <v>7</v>
      </c>
      <c r="B25" t="s">
        <v>8</v>
      </c>
      <c r="C25">
        <v>2013</v>
      </c>
      <c r="D25">
        <v>12.403442</v>
      </c>
      <c r="E25">
        <v>53183.43</v>
      </c>
      <c r="F25">
        <v>5439057</v>
      </c>
    </row>
    <row r="26" spans="1:6" x14ac:dyDescent="0.25">
      <c r="A26" t="s">
        <v>7</v>
      </c>
      <c r="B26" t="s">
        <v>8</v>
      </c>
      <c r="C26">
        <v>2014</v>
      </c>
      <c r="D26">
        <v>11.42572</v>
      </c>
      <c r="E26">
        <v>52710.733999999997</v>
      </c>
      <c r="F26">
        <v>5461686</v>
      </c>
    </row>
    <row r="27" spans="1:6" x14ac:dyDescent="0.25">
      <c r="A27" t="s">
        <v>7</v>
      </c>
      <c r="B27" t="s">
        <v>8</v>
      </c>
      <c r="C27">
        <v>2015</v>
      </c>
      <c r="D27">
        <v>10.302790999999999</v>
      </c>
      <c r="E27">
        <v>52782.49</v>
      </c>
      <c r="F27">
        <v>5479719</v>
      </c>
    </row>
    <row r="28" spans="1:6" x14ac:dyDescent="0.25">
      <c r="A28" t="s">
        <v>7</v>
      </c>
      <c r="B28" t="s">
        <v>8</v>
      </c>
      <c r="C28">
        <v>2016</v>
      </c>
      <c r="D28">
        <v>10.774596000000001</v>
      </c>
      <c r="E28">
        <v>53984.633000000002</v>
      </c>
      <c r="F28">
        <v>5495468</v>
      </c>
    </row>
    <row r="29" spans="1:6" x14ac:dyDescent="0.25">
      <c r="A29" t="s">
        <v>7</v>
      </c>
      <c r="B29" t="s">
        <v>8</v>
      </c>
      <c r="C29">
        <v>2017</v>
      </c>
      <c r="D29">
        <v>10.768594999999999</v>
      </c>
      <c r="E29">
        <v>55637.226999999999</v>
      </c>
      <c r="F29">
        <v>5508398</v>
      </c>
    </row>
    <row r="30" spans="1:6" x14ac:dyDescent="0.25">
      <c r="A30" t="s">
        <v>7</v>
      </c>
      <c r="B30" t="s">
        <v>8</v>
      </c>
      <c r="C30">
        <v>2018</v>
      </c>
      <c r="D30">
        <v>11.143822999999999</v>
      </c>
      <c r="E30">
        <v>56226.336000000003</v>
      </c>
      <c r="F30">
        <v>5515730</v>
      </c>
    </row>
    <row r="31" spans="1:6" x14ac:dyDescent="0.25">
      <c r="A31" t="s">
        <v>7</v>
      </c>
      <c r="B31" t="s">
        <v>8</v>
      </c>
      <c r="C31">
        <v>2019</v>
      </c>
      <c r="D31">
        <v>10.247757999999999</v>
      </c>
      <c r="E31">
        <v>56922.49</v>
      </c>
      <c r="F31">
        <v>5521754</v>
      </c>
    </row>
    <row r="32" spans="1:6" x14ac:dyDescent="0.25">
      <c r="A32" t="s">
        <v>7</v>
      </c>
      <c r="B32" t="s">
        <v>8</v>
      </c>
      <c r="C32">
        <v>2020</v>
      </c>
      <c r="D32">
        <v>9.2471770000000006</v>
      </c>
      <c r="E32">
        <v>55424.86</v>
      </c>
      <c r="F32">
        <v>5529616</v>
      </c>
    </row>
    <row r="33" spans="1:6" x14ac:dyDescent="0.25">
      <c r="A33" t="s">
        <v>7</v>
      </c>
      <c r="B33" t="s">
        <v>8</v>
      </c>
      <c r="C33">
        <v>2021</v>
      </c>
      <c r="D33">
        <v>9.8892570000000006</v>
      </c>
      <c r="E33">
        <v>56790.375</v>
      </c>
      <c r="F33">
        <v>5541069</v>
      </c>
    </row>
    <row r="34" spans="1:6" x14ac:dyDescent="0.25">
      <c r="A34" t="s">
        <v>7</v>
      </c>
      <c r="B34" t="s">
        <v>8</v>
      </c>
      <c r="C34">
        <v>2022</v>
      </c>
      <c r="D34">
        <v>9.4741940000000007</v>
      </c>
      <c r="E34">
        <v>57068.305</v>
      </c>
      <c r="F34">
        <v>5569300</v>
      </c>
    </row>
    <row r="35" spans="1:6" x14ac:dyDescent="0.25">
      <c r="A35" t="s">
        <v>7</v>
      </c>
      <c r="B35" t="s">
        <v>8</v>
      </c>
      <c r="C35">
        <v>2023</v>
      </c>
      <c r="D35">
        <v>8.4735709999999997</v>
      </c>
      <c r="E35">
        <v>56246.44</v>
      </c>
      <c r="F35">
        <v>5601185</v>
      </c>
    </row>
    <row r="36" spans="1:6" x14ac:dyDescent="0.25">
      <c r="F3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E765-5DF3-41A1-95A4-3A70278D490E}">
  <dimension ref="A1:B38"/>
  <sheetViews>
    <sheetView workbookViewId="0"/>
  </sheetViews>
  <sheetFormatPr defaultRowHeight="15" x14ac:dyDescent="0.25"/>
  <cols>
    <col min="1" max="1" width="50.5703125" bestFit="1" customWidth="1"/>
    <col min="2" max="2" width="40.42578125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6</v>
      </c>
    </row>
    <row r="3" spans="1:2" x14ac:dyDescent="0.25">
      <c r="A3" t="s">
        <v>6</v>
      </c>
      <c r="B3" t="s">
        <v>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  <row r="8" spans="1:2" x14ac:dyDescent="0.25">
      <c r="A8" t="s">
        <v>25</v>
      </c>
      <c r="B8" t="s">
        <v>26</v>
      </c>
    </row>
    <row r="9" spans="1:2" x14ac:dyDescent="0.25">
      <c r="A9" t="s">
        <v>27</v>
      </c>
      <c r="B9" t="s">
        <v>28</v>
      </c>
    </row>
    <row r="10" spans="1:2" x14ac:dyDescent="0.25">
      <c r="A10" t="s">
        <v>29</v>
      </c>
      <c r="B10" t="s">
        <v>30</v>
      </c>
    </row>
    <row r="11" spans="1:2" x14ac:dyDescent="0.25">
      <c r="A11" t="s">
        <v>31</v>
      </c>
      <c r="B11" t="s">
        <v>32</v>
      </c>
    </row>
    <row r="12" spans="1:2" x14ac:dyDescent="0.25">
      <c r="A12" t="s">
        <v>33</v>
      </c>
      <c r="B12" t="s">
        <v>34</v>
      </c>
    </row>
    <row r="13" spans="1:2" x14ac:dyDescent="0.25">
      <c r="A13" t="s">
        <v>35</v>
      </c>
      <c r="B13" t="s">
        <v>36</v>
      </c>
    </row>
    <row r="14" spans="1:2" x14ac:dyDescent="0.25">
      <c r="A14" t="s">
        <v>37</v>
      </c>
      <c r="B14" t="s">
        <v>38</v>
      </c>
    </row>
    <row r="15" spans="1:2" x14ac:dyDescent="0.25">
      <c r="A15" t="s">
        <v>39</v>
      </c>
      <c r="B15" t="s">
        <v>36</v>
      </c>
    </row>
    <row r="16" spans="1:2" x14ac:dyDescent="0.25">
      <c r="A16" t="s">
        <v>40</v>
      </c>
      <c r="B16" t="s">
        <v>41</v>
      </c>
    </row>
    <row r="17" spans="1:2" x14ac:dyDescent="0.25">
      <c r="A17" t="s">
        <v>42</v>
      </c>
      <c r="B17" t="s">
        <v>43</v>
      </c>
    </row>
    <row r="18" spans="1:2" x14ac:dyDescent="0.25">
      <c r="A18" t="s">
        <v>44</v>
      </c>
      <c r="B18" t="s">
        <v>45</v>
      </c>
    </row>
    <row r="19" spans="1:2" x14ac:dyDescent="0.25">
      <c r="A19" t="s">
        <v>46</v>
      </c>
      <c r="B19" t="s">
        <v>47</v>
      </c>
    </row>
    <row r="20" spans="1:2" x14ac:dyDescent="0.25">
      <c r="A20" t="s">
        <v>48</v>
      </c>
      <c r="B20" t="s">
        <v>49</v>
      </c>
    </row>
    <row r="21" spans="1:2" x14ac:dyDescent="0.25">
      <c r="A21" t="s">
        <v>50</v>
      </c>
      <c r="B21" t="s">
        <v>51</v>
      </c>
    </row>
    <row r="22" spans="1:2" x14ac:dyDescent="0.25">
      <c r="A22" t="s">
        <v>52</v>
      </c>
      <c r="B22" t="s">
        <v>53</v>
      </c>
    </row>
    <row r="23" spans="1:2" x14ac:dyDescent="0.25">
      <c r="A23" t="s">
        <v>54</v>
      </c>
      <c r="B23" t="s">
        <v>55</v>
      </c>
    </row>
    <row r="24" spans="1:2" x14ac:dyDescent="0.25">
      <c r="A24" t="s">
        <v>56</v>
      </c>
      <c r="B24" t="s">
        <v>57</v>
      </c>
    </row>
    <row r="25" spans="1:2" x14ac:dyDescent="0.25">
      <c r="A25" t="s">
        <v>58</v>
      </c>
      <c r="B25" t="s">
        <v>59</v>
      </c>
    </row>
    <row r="26" spans="1:2" x14ac:dyDescent="0.25">
      <c r="A26" t="s">
        <v>60</v>
      </c>
      <c r="B26" t="s">
        <v>61</v>
      </c>
    </row>
    <row r="27" spans="1:2" x14ac:dyDescent="0.25">
      <c r="A27" t="s">
        <v>62</v>
      </c>
      <c r="B27" t="s">
        <v>63</v>
      </c>
    </row>
    <row r="28" spans="1:2" x14ac:dyDescent="0.25">
      <c r="A28" t="s">
        <v>64</v>
      </c>
      <c r="B28" t="s">
        <v>65</v>
      </c>
    </row>
    <row r="29" spans="1:2" x14ac:dyDescent="0.25">
      <c r="A29" t="s">
        <v>66</v>
      </c>
      <c r="B29" t="s">
        <v>67</v>
      </c>
    </row>
    <row r="30" spans="1:2" x14ac:dyDescent="0.25">
      <c r="A30" t="s">
        <v>68</v>
      </c>
      <c r="B30" t="s">
        <v>69</v>
      </c>
    </row>
    <row r="31" spans="1:2" x14ac:dyDescent="0.25">
      <c r="A31" t="s">
        <v>70</v>
      </c>
      <c r="B31" t="s">
        <v>71</v>
      </c>
    </row>
    <row r="32" spans="1:2" x14ac:dyDescent="0.25">
      <c r="A32" t="s">
        <v>72</v>
      </c>
      <c r="B32" t="s">
        <v>73</v>
      </c>
    </row>
    <row r="33" spans="1:2" x14ac:dyDescent="0.25">
      <c r="A33" t="s">
        <v>74</v>
      </c>
      <c r="B33" t="s">
        <v>75</v>
      </c>
    </row>
    <row r="34" spans="1:2" x14ac:dyDescent="0.25">
      <c r="A34" t="s">
        <v>76</v>
      </c>
      <c r="B34" t="s">
        <v>77</v>
      </c>
    </row>
    <row r="35" spans="1:2" x14ac:dyDescent="0.25">
      <c r="A35" t="s">
        <v>78</v>
      </c>
      <c r="B35" t="s">
        <v>79</v>
      </c>
    </row>
    <row r="36" spans="1:2" x14ac:dyDescent="0.25">
      <c r="A36" t="s">
        <v>80</v>
      </c>
      <c r="B36" t="s">
        <v>81</v>
      </c>
    </row>
    <row r="37" spans="1:2" x14ac:dyDescent="0.25">
      <c r="A37" t="s">
        <v>82</v>
      </c>
      <c r="B37" t="s">
        <v>83</v>
      </c>
    </row>
    <row r="38" spans="1:2" x14ac:dyDescent="0.25">
      <c r="A38" t="s">
        <v>84</v>
      </c>
      <c r="B38" t="s">
        <v>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9276-7C07-41CF-89D2-6094CC7CBBB8}">
  <dimension ref="A3:D38"/>
  <sheetViews>
    <sheetView topLeftCell="A19" workbookViewId="0">
      <selection activeCell="D64" sqref="D64"/>
    </sheetView>
  </sheetViews>
  <sheetFormatPr defaultRowHeight="15" x14ac:dyDescent="0.25"/>
  <cols>
    <col min="1" max="1" width="13.140625" bestFit="1" customWidth="1"/>
    <col min="2" max="2" width="34.7109375" bestFit="1" customWidth="1"/>
    <col min="3" max="3" width="14.5703125" bestFit="1" customWidth="1"/>
    <col min="4" max="4" width="16.7109375" bestFit="1" customWidth="1"/>
    <col min="5" max="10" width="12" bestFit="1" customWidth="1"/>
    <col min="11" max="11" width="11" bestFit="1" customWidth="1"/>
    <col min="12" max="12" width="12" bestFit="1" customWidth="1"/>
    <col min="13" max="14" width="11" bestFit="1" customWidth="1"/>
    <col min="15" max="21" width="12" bestFit="1" customWidth="1"/>
    <col min="22" max="22" width="11" bestFit="1" customWidth="1"/>
    <col min="23" max="27" width="12" bestFit="1" customWidth="1"/>
    <col min="28" max="28" width="11" bestFit="1" customWidth="1"/>
    <col min="29" max="35" width="12" bestFit="1" customWidth="1"/>
    <col min="36" max="36" width="11.28515625" bestFit="1" customWidth="1"/>
  </cols>
  <sheetData>
    <row r="3" spans="1:4" x14ac:dyDescent="0.25">
      <c r="A3" s="14" t="s">
        <v>98</v>
      </c>
      <c r="B3" t="s">
        <v>101</v>
      </c>
      <c r="C3" t="s">
        <v>100</v>
      </c>
      <c r="D3" t="s">
        <v>102</v>
      </c>
    </row>
    <row r="4" spans="1:4" x14ac:dyDescent="0.25">
      <c r="A4" s="15">
        <v>1990</v>
      </c>
      <c r="B4" s="17"/>
      <c r="C4" s="17"/>
      <c r="D4" s="16">
        <v>-0.89</v>
      </c>
    </row>
    <row r="5" spans="1:4" x14ac:dyDescent="0.25">
      <c r="A5" s="15">
        <v>1991</v>
      </c>
      <c r="B5" s="17">
        <v>-9.114038658244325E-2</v>
      </c>
      <c r="C5" s="17">
        <v>-6.3932474035625894E-2</v>
      </c>
      <c r="D5" s="16">
        <v>-0.89</v>
      </c>
    </row>
    <row r="6" spans="1:4" x14ac:dyDescent="0.25">
      <c r="A6" s="15">
        <v>1992</v>
      </c>
      <c r="B6" s="17">
        <v>0.16099245245516083</v>
      </c>
      <c r="C6" s="17">
        <v>-0.10000057463686357</v>
      </c>
      <c r="D6" s="16">
        <v>-0.89</v>
      </c>
    </row>
    <row r="7" spans="1:4" x14ac:dyDescent="0.25">
      <c r="A7" s="15">
        <v>1993</v>
      </c>
      <c r="B7" s="17">
        <v>-1.8585314677329965E-2</v>
      </c>
      <c r="C7" s="17">
        <v>-0.11132914099235967</v>
      </c>
      <c r="D7" s="16">
        <v>-0.89</v>
      </c>
    </row>
    <row r="8" spans="1:4" x14ac:dyDescent="0.25">
      <c r="A8" s="15">
        <v>1994</v>
      </c>
      <c r="B8" s="17">
        <v>-7.2210082122884003E-2</v>
      </c>
      <c r="C8" s="17">
        <v>-8.0072863954310167E-2</v>
      </c>
      <c r="D8" s="16">
        <v>-0.89</v>
      </c>
    </row>
    <row r="9" spans="1:4" x14ac:dyDescent="0.25">
      <c r="A9" s="15">
        <v>1995</v>
      </c>
      <c r="B9" s="17">
        <v>-0.10241057090435304</v>
      </c>
      <c r="C9" s="17">
        <v>-4.477238028271982E-2</v>
      </c>
      <c r="D9" s="16">
        <v>-0.89</v>
      </c>
    </row>
    <row r="10" spans="1:4" x14ac:dyDescent="0.25">
      <c r="A10" s="15">
        <v>1996</v>
      </c>
      <c r="B10" s="17">
        <v>-0.1677964111054184</v>
      </c>
      <c r="C10" s="17">
        <v>-1.3028718417809712E-2</v>
      </c>
      <c r="D10" s="16">
        <v>-0.89</v>
      </c>
    </row>
    <row r="11" spans="1:4" x14ac:dyDescent="0.25">
      <c r="A11" s="15">
        <v>1997</v>
      </c>
      <c r="B11" s="17">
        <v>-0.24604103101648553</v>
      </c>
      <c r="C11" s="17">
        <v>4.6996611472065804E-2</v>
      </c>
      <c r="D11" s="16">
        <v>-0.89</v>
      </c>
    </row>
    <row r="12" spans="1:4" x14ac:dyDescent="0.25">
      <c r="A12" s="15">
        <v>1998</v>
      </c>
      <c r="B12" s="17">
        <v>-0.24431113808052224</v>
      </c>
      <c r="C12" s="17">
        <v>0.10117546222256092</v>
      </c>
      <c r="D12" s="16">
        <v>-0.89</v>
      </c>
    </row>
    <row r="13" spans="1:4" x14ac:dyDescent="0.25">
      <c r="A13" s="15">
        <v>1999</v>
      </c>
      <c r="B13" s="17">
        <v>-0.21102702954262564</v>
      </c>
      <c r="C13" s="17">
        <v>0.1468440183278753</v>
      </c>
      <c r="D13" s="16">
        <v>-0.89</v>
      </c>
    </row>
    <row r="14" spans="1:4" x14ac:dyDescent="0.25">
      <c r="A14" s="15">
        <v>2000</v>
      </c>
      <c r="B14" s="17">
        <v>-0.15249232020375736</v>
      </c>
      <c r="C14" s="17">
        <v>0.21031510792208549</v>
      </c>
      <c r="D14" s="16">
        <v>-0.89</v>
      </c>
    </row>
    <row r="15" spans="1:4" x14ac:dyDescent="0.25">
      <c r="A15" s="15">
        <v>2001</v>
      </c>
      <c r="B15" s="17">
        <v>-0.12718857303288456</v>
      </c>
      <c r="C15" s="17">
        <v>0.23944533163852405</v>
      </c>
      <c r="D15" s="16">
        <v>-0.89</v>
      </c>
    </row>
    <row r="16" spans="1:4" x14ac:dyDescent="0.25">
      <c r="A16" s="15">
        <v>2002</v>
      </c>
      <c r="B16" s="17">
        <v>-0.12870531172930735</v>
      </c>
      <c r="C16" s="17">
        <v>0.25730777681836042</v>
      </c>
      <c r="D16" s="16">
        <v>-0.89</v>
      </c>
    </row>
    <row r="17" spans="1:4" x14ac:dyDescent="0.25">
      <c r="A17" s="15">
        <v>2003</v>
      </c>
      <c r="B17" s="17">
        <v>-1.7469422063161263E-2</v>
      </c>
      <c r="C17" s="17">
        <v>0.27954743455949077</v>
      </c>
      <c r="D17" s="16">
        <v>-0.89</v>
      </c>
    </row>
    <row r="18" spans="1:4" x14ac:dyDescent="0.25">
      <c r="A18" s="15">
        <v>2004</v>
      </c>
      <c r="B18" s="17">
        <v>-5.9210216745980038E-2</v>
      </c>
      <c r="C18" s="17">
        <v>0.32693977241339534</v>
      </c>
      <c r="D18" s="16">
        <v>-0.89</v>
      </c>
    </row>
    <row r="19" spans="1:4" x14ac:dyDescent="0.25">
      <c r="A19" s="15">
        <v>2005</v>
      </c>
      <c r="B19" s="17">
        <v>-0.10427752629942161</v>
      </c>
      <c r="C19" s="17">
        <v>0.35913335175091726</v>
      </c>
      <c r="D19" s="16">
        <v>-0.89</v>
      </c>
    </row>
    <row r="20" spans="1:4" x14ac:dyDescent="0.25">
      <c r="A20" s="15">
        <v>2006</v>
      </c>
      <c r="B20" s="17">
        <v>-3.512046448557115E-2</v>
      </c>
      <c r="C20" s="17">
        <v>0.40834940147705395</v>
      </c>
      <c r="D20" s="16">
        <v>-0.89</v>
      </c>
    </row>
    <row r="21" spans="1:4" x14ac:dyDescent="0.25">
      <c r="A21" s="15">
        <v>2007</v>
      </c>
      <c r="B21" s="17">
        <v>-4.9341376567419867E-2</v>
      </c>
      <c r="C21" s="17">
        <v>0.47687582666859796</v>
      </c>
      <c r="D21" s="16">
        <v>-0.89</v>
      </c>
    </row>
    <row r="22" spans="1:4" x14ac:dyDescent="0.25">
      <c r="A22" s="15">
        <v>2008</v>
      </c>
      <c r="B22" s="17">
        <v>-0.10802283553338608</v>
      </c>
      <c r="C22" s="17">
        <v>0.4815474697592198</v>
      </c>
      <c r="D22" s="16">
        <v>-0.89</v>
      </c>
    </row>
    <row r="23" spans="1:4" x14ac:dyDescent="0.25">
      <c r="A23" s="15">
        <v>2009</v>
      </c>
      <c r="B23" s="17">
        <v>-0.21627625252873772</v>
      </c>
      <c r="C23" s="17">
        <v>0.355399577866091</v>
      </c>
      <c r="D23" s="16">
        <v>-0.89</v>
      </c>
    </row>
    <row r="24" spans="1:4" x14ac:dyDescent="0.25">
      <c r="A24" s="15">
        <v>2010</v>
      </c>
      <c r="B24" s="17">
        <v>-8.5298209698176586E-2</v>
      </c>
      <c r="C24" s="17">
        <v>0.39195975315558745</v>
      </c>
      <c r="D24" s="16">
        <v>-0.89</v>
      </c>
    </row>
    <row r="25" spans="1:4" x14ac:dyDescent="0.25">
      <c r="A25" s="15">
        <v>2011</v>
      </c>
      <c r="B25" s="17">
        <v>-0.23034890325197899</v>
      </c>
      <c r="C25" s="17">
        <v>0.41864158576891969</v>
      </c>
      <c r="D25" s="16">
        <v>-0.89</v>
      </c>
    </row>
    <row r="26" spans="1:4" x14ac:dyDescent="0.25">
      <c r="A26" s="15">
        <v>2012</v>
      </c>
      <c r="B26" s="17">
        <v>-0.26717982696727693</v>
      </c>
      <c r="C26" s="17">
        <v>0.39040650713630698</v>
      </c>
      <c r="D26" s="16">
        <v>-0.89</v>
      </c>
    </row>
    <row r="27" spans="1:4" x14ac:dyDescent="0.25">
      <c r="A27" s="15">
        <v>2013</v>
      </c>
      <c r="B27" s="17">
        <v>-0.30217663279860457</v>
      </c>
      <c r="C27" s="17">
        <v>0.37045557906298482</v>
      </c>
      <c r="D27" s="16">
        <v>-0.89</v>
      </c>
    </row>
    <row r="28" spans="1:4" x14ac:dyDescent="0.25">
      <c r="A28" s="15">
        <v>2014</v>
      </c>
      <c r="B28" s="17">
        <v>-0.35721445227455778</v>
      </c>
      <c r="C28" s="17">
        <v>0.35827492673573247</v>
      </c>
      <c r="D28" s="16">
        <v>-0.89</v>
      </c>
    </row>
    <row r="29" spans="1:4" x14ac:dyDescent="0.25">
      <c r="A29" s="15">
        <v>2015</v>
      </c>
      <c r="B29" s="17">
        <v>-0.42036317768141407</v>
      </c>
      <c r="C29" s="17">
        <v>0.36012396901320964</v>
      </c>
      <c r="D29" s="16">
        <v>-0.89</v>
      </c>
    </row>
    <row r="30" spans="1:4" x14ac:dyDescent="0.25">
      <c r="A30" s="15">
        <v>2016</v>
      </c>
      <c r="B30" s="17">
        <v>-0.39375507869491072</v>
      </c>
      <c r="C30" s="17">
        <v>0.39110135390887202</v>
      </c>
      <c r="D30" s="16">
        <v>-0.89</v>
      </c>
    </row>
    <row r="31" spans="1:4" x14ac:dyDescent="0.25">
      <c r="A31" s="15">
        <v>2017</v>
      </c>
      <c r="B31" s="17">
        <v>-0.39404062217199265</v>
      </c>
      <c r="C31" s="17">
        <v>0.43368617153394828</v>
      </c>
      <c r="D31" s="16">
        <v>-0.89</v>
      </c>
    </row>
    <row r="32" spans="1:4" x14ac:dyDescent="0.25">
      <c r="A32" s="15">
        <v>2018</v>
      </c>
      <c r="B32" s="17">
        <v>-0.37279369930189921</v>
      </c>
      <c r="C32" s="17">
        <v>0.4488666086687142</v>
      </c>
      <c r="D32" s="16">
        <v>-0.89</v>
      </c>
    </row>
    <row r="33" spans="1:4" x14ac:dyDescent="0.25">
      <c r="A33" s="15">
        <v>2019</v>
      </c>
      <c r="B33" s="17">
        <v>-0.42326128565832982</v>
      </c>
      <c r="C33" s="17">
        <v>0.46680543159132382</v>
      </c>
      <c r="D33" s="16">
        <v>-0.89</v>
      </c>
    </row>
    <row r="34" spans="1:4" x14ac:dyDescent="0.25">
      <c r="A34" s="15">
        <v>2020</v>
      </c>
      <c r="B34" s="17">
        <v>-0.47958631795637047</v>
      </c>
      <c r="C34" s="17">
        <v>0.42821379903072943</v>
      </c>
      <c r="D34" s="16">
        <v>-0.89</v>
      </c>
    </row>
    <row r="35" spans="1:4" x14ac:dyDescent="0.25">
      <c r="A35" s="15">
        <v>2021</v>
      </c>
      <c r="B35" s="17">
        <v>-0.44334487770099912</v>
      </c>
      <c r="C35" s="17">
        <v>0.46340103028009016</v>
      </c>
      <c r="D35" s="16">
        <v>-0.89</v>
      </c>
    </row>
    <row r="36" spans="1:4" x14ac:dyDescent="0.25">
      <c r="A36" s="15">
        <v>2022</v>
      </c>
      <c r="B36" s="17">
        <v>-0.4667024482812222</v>
      </c>
      <c r="C36" s="17">
        <v>0.47056286093089583</v>
      </c>
      <c r="D36" s="16">
        <v>-0.89</v>
      </c>
    </row>
    <row r="37" spans="1:4" x14ac:dyDescent="0.25">
      <c r="A37" s="15">
        <v>2023</v>
      </c>
      <c r="B37" s="17">
        <v>-0.52303145696337039</v>
      </c>
      <c r="C37" s="17">
        <v>0.44938465797394855</v>
      </c>
      <c r="D37" s="16">
        <v>-0.89</v>
      </c>
    </row>
    <row r="38" spans="1:4" x14ac:dyDescent="0.25">
      <c r="A38" s="15" t="s">
        <v>97</v>
      </c>
      <c r="B38" s="17"/>
      <c r="C38" s="17"/>
      <c r="D38" s="16">
        <v>-30.260000000000012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CB6E-8D0E-4665-B475-AB98E01E93FB}">
  <dimension ref="B1:H56"/>
  <sheetViews>
    <sheetView topLeftCell="A39" workbookViewId="0">
      <selection activeCell="E9" sqref="E9"/>
    </sheetView>
  </sheetViews>
  <sheetFormatPr defaultRowHeight="15" x14ac:dyDescent="0.25"/>
  <cols>
    <col min="2" max="2" width="24.85546875" customWidth="1"/>
    <col min="3" max="3" width="42.85546875" customWidth="1"/>
    <col min="4" max="4" width="16.140625" customWidth="1"/>
    <col min="5" max="5" width="14" customWidth="1"/>
    <col min="6" max="6" width="18.28515625" customWidth="1"/>
    <col min="7" max="7" width="27.85546875" customWidth="1"/>
    <col min="8" max="8" width="30.85546875" customWidth="1"/>
  </cols>
  <sheetData>
    <row r="1" spans="2:8" x14ac:dyDescent="0.25">
      <c r="B1" s="4" t="s">
        <v>9</v>
      </c>
      <c r="C1" s="4" t="s">
        <v>105</v>
      </c>
      <c r="D1" t="s">
        <v>106</v>
      </c>
      <c r="E1" s="4" t="s">
        <v>107</v>
      </c>
      <c r="F1" s="19" t="s">
        <v>108</v>
      </c>
      <c r="H1" s="4" t="s">
        <v>10</v>
      </c>
    </row>
    <row r="2" spans="2:8" x14ac:dyDescent="0.25">
      <c r="B2" s="5" t="s">
        <v>91</v>
      </c>
      <c r="C2" s="3">
        <v>-0.2</v>
      </c>
      <c r="D2" t="b">
        <v>0</v>
      </c>
      <c r="E2" s="3">
        <f>IF(D2,$G$47*C2,0)</f>
        <v>0</v>
      </c>
      <c r="H2" s="3" t="s">
        <v>92</v>
      </c>
    </row>
    <row r="3" spans="2:8" x14ac:dyDescent="0.25">
      <c r="B3" s="5" t="s">
        <v>11</v>
      </c>
      <c r="C3">
        <v>-0.1</v>
      </c>
      <c r="D3" t="b">
        <v>0</v>
      </c>
      <c r="E3" s="3">
        <f t="shared" ref="E3:E8" si="0">IF(D3,$G$47*C3,0)</f>
        <v>0</v>
      </c>
      <c r="H3" s="3" t="s">
        <v>90</v>
      </c>
    </row>
    <row r="4" spans="2:8" x14ac:dyDescent="0.25">
      <c r="B4" s="5" t="s">
        <v>109</v>
      </c>
      <c r="C4" s="9">
        <v>-0.1</v>
      </c>
      <c r="D4" t="b">
        <v>0</v>
      </c>
      <c r="E4" s="3">
        <f t="shared" si="0"/>
        <v>0</v>
      </c>
      <c r="H4" s="3"/>
    </row>
    <row r="5" spans="2:8" x14ac:dyDescent="0.25">
      <c r="B5" s="5" t="s">
        <v>88</v>
      </c>
      <c r="C5" s="3">
        <v>-0.1</v>
      </c>
      <c r="D5" t="b">
        <v>0</v>
      </c>
      <c r="E5" s="3">
        <f t="shared" si="0"/>
        <v>0</v>
      </c>
      <c r="H5" s="3" t="s">
        <v>89</v>
      </c>
    </row>
    <row r="6" spans="2:8" x14ac:dyDescent="0.25">
      <c r="B6" s="5" t="s">
        <v>93</v>
      </c>
      <c r="C6" s="3">
        <v>-7.0000000000000007E-2</v>
      </c>
      <c r="D6" t="b">
        <v>0</v>
      </c>
      <c r="E6" s="3">
        <f t="shared" si="0"/>
        <v>0</v>
      </c>
      <c r="H6" s="3" t="s">
        <v>94</v>
      </c>
    </row>
    <row r="7" spans="2:8" ht="15.75" thickBot="1" x14ac:dyDescent="0.3">
      <c r="B7" s="10" t="s">
        <v>95</v>
      </c>
      <c r="C7" s="11">
        <v>-0.03</v>
      </c>
      <c r="D7" t="b">
        <v>0</v>
      </c>
      <c r="E7" s="3">
        <f t="shared" si="0"/>
        <v>0</v>
      </c>
      <c r="H7" s="11" t="s">
        <v>96</v>
      </c>
    </row>
    <row r="8" spans="2:8" ht="15.75" thickBot="1" x14ac:dyDescent="0.3">
      <c r="B8" s="12" t="s">
        <v>103</v>
      </c>
      <c r="C8" s="13">
        <v>-0.2</v>
      </c>
      <c r="D8" s="13" t="b">
        <v>0</v>
      </c>
      <c r="E8" s="3">
        <f t="shared" si="0"/>
        <v>0</v>
      </c>
    </row>
    <row r="9" spans="2:8" ht="15.75" thickBot="1" x14ac:dyDescent="0.3">
      <c r="E9" s="13"/>
      <c r="F9" s="20">
        <f>$G$47+SUM(E2:E8)</f>
        <v>8.4743838637065192</v>
      </c>
    </row>
    <row r="10" spans="2:8" x14ac:dyDescent="0.25">
      <c r="B10" s="18" t="s">
        <v>104</v>
      </c>
      <c r="C10">
        <f>1+SUM(C2:C8)</f>
        <v>0.19999999999999996</v>
      </c>
    </row>
    <row r="13" spans="2:8" x14ac:dyDescent="0.25">
      <c r="B13" s="8" t="s">
        <v>2</v>
      </c>
      <c r="C13" s="8" t="s">
        <v>3</v>
      </c>
      <c r="D13" s="8" t="s">
        <v>12</v>
      </c>
      <c r="E13" s="8" t="s">
        <v>13</v>
      </c>
      <c r="F13" s="8" t="s">
        <v>87</v>
      </c>
      <c r="G13" s="8" t="s">
        <v>86</v>
      </c>
      <c r="H13" s="8" t="s">
        <v>99</v>
      </c>
    </row>
    <row r="14" spans="2:8" x14ac:dyDescent="0.25">
      <c r="B14" s="1">
        <v>1990</v>
      </c>
      <c r="C14" s="7">
        <f>Data_processed!D2</f>
        <v>17.773579000000002</v>
      </c>
      <c r="D14" s="7">
        <f>Data_processed!E2</f>
        <v>38807.116999999998</v>
      </c>
      <c r="E14" s="7" t="str">
        <f>LULUCF_FI!B5</f>
        <v>-31931</v>
      </c>
      <c r="F14" s="7">
        <f>E14/Data_processed!F2</f>
        <v>-6.4033918263754529E-3</v>
      </c>
      <c r="G14" s="7">
        <f>C14+F14</f>
        <v>17.767175608173627</v>
      </c>
      <c r="H14" s="7">
        <v>-0.89</v>
      </c>
    </row>
    <row r="15" spans="2:8" x14ac:dyDescent="0.25">
      <c r="B15" s="6">
        <v>1991</v>
      </c>
      <c r="C15" s="7">
        <f>Data_processed!D3</f>
        <v>16.156707999999998</v>
      </c>
      <c r="D15" s="7">
        <f>Data_processed!E3</f>
        <v>36326.082000000002</v>
      </c>
      <c r="E15" s="7" t="str">
        <f>LULUCF_FI!B6</f>
        <v>-44321</v>
      </c>
      <c r="F15" s="7">
        <f>E15/Data_processed!F3</f>
        <v>-8.8396452334704653E-3</v>
      </c>
      <c r="G15" s="7">
        <f>C15+F15</f>
        <v>16.147868354766526</v>
      </c>
      <c r="H15" s="7">
        <v>-0.89</v>
      </c>
    </row>
    <row r="16" spans="2:8" x14ac:dyDescent="0.25">
      <c r="B16" s="1">
        <v>1992</v>
      </c>
      <c r="C16" s="7">
        <f>Data_processed!D4</f>
        <v>20.635195</v>
      </c>
      <c r="D16" s="7">
        <f>Data_processed!E4</f>
        <v>34926.383000000002</v>
      </c>
      <c r="E16" s="7" t="str">
        <f>LULUCF_FI!B7</f>
        <v>-38513</v>
      </c>
      <c r="F16" s="7">
        <f>E16/Data_processed!F4</f>
        <v>-7.6382174649876197E-3</v>
      </c>
      <c r="G16" s="7">
        <f>C16+F16</f>
        <v>20.627556782535013</v>
      </c>
      <c r="H16" s="7">
        <v>-0.89</v>
      </c>
    </row>
    <row r="17" spans="2:8" x14ac:dyDescent="0.25">
      <c r="B17" s="6">
        <v>1993</v>
      </c>
      <c r="C17" s="7">
        <f>Data_processed!D5</f>
        <v>17.44481</v>
      </c>
      <c r="D17" s="7">
        <f>Data_processed!E5</f>
        <v>34486.754000000001</v>
      </c>
      <c r="E17" s="7" t="str">
        <f>LULUCF_FI!B8</f>
        <v>-39737</v>
      </c>
      <c r="F17" s="7">
        <f>E17/Data_processed!F5</f>
        <v>-7.8429414316600072E-3</v>
      </c>
      <c r="G17" s="7">
        <f>C17+F17</f>
        <v>17.436967058568339</v>
      </c>
      <c r="H17" s="7">
        <v>-0.89</v>
      </c>
    </row>
    <row r="18" spans="2:8" x14ac:dyDescent="0.25">
      <c r="B18" s="1">
        <v>1994</v>
      </c>
      <c r="C18" s="7">
        <f>Data_processed!D6</f>
        <v>16.490786</v>
      </c>
      <c r="D18" s="7">
        <f>Data_processed!E6</f>
        <v>35699.72</v>
      </c>
      <c r="E18" s="7" t="str">
        <f>LULUCF_FI!B9</f>
        <v>-33480</v>
      </c>
      <c r="F18" s="7">
        <f>E18/Data_processed!F6</f>
        <v>-6.5796015842925961E-3</v>
      </c>
      <c r="G18" s="7">
        <f>C18+F18</f>
        <v>16.484206398415708</v>
      </c>
      <c r="H18" s="7">
        <v>-0.89</v>
      </c>
    </row>
    <row r="19" spans="2:8" x14ac:dyDescent="0.25">
      <c r="B19" s="6">
        <v>1995</v>
      </c>
      <c r="C19" s="7">
        <f>Data_processed!D7</f>
        <v>15.953912000000001</v>
      </c>
      <c r="D19" s="7">
        <f>Data_processed!E7</f>
        <v>37069.629999999997</v>
      </c>
      <c r="E19" s="7" t="str">
        <f>LULUCF_FI!B10</f>
        <v>-32093</v>
      </c>
      <c r="F19" s="7">
        <f>E19/Data_processed!F7</f>
        <v>-6.2829892173309719E-3</v>
      </c>
      <c r="G19" s="7">
        <f>C19+F19</f>
        <v>15.94762901078267</v>
      </c>
      <c r="H19" s="7">
        <v>-0.89</v>
      </c>
    </row>
    <row r="20" spans="2:8" x14ac:dyDescent="0.25">
      <c r="B20" s="1">
        <v>1996</v>
      </c>
      <c r="C20" s="7">
        <f>Data_processed!D8</f>
        <v>14.793569</v>
      </c>
      <c r="D20" s="7">
        <f>Data_processed!E8</f>
        <v>38301.51</v>
      </c>
      <c r="E20" s="7" t="str">
        <f>LULUCF_FI!B11</f>
        <v>-39264</v>
      </c>
      <c r="F20" s="7">
        <f>E20/Data_processed!F8</f>
        <v>-7.6616943576374493E-3</v>
      </c>
      <c r="G20" s="7">
        <f>C20+F20</f>
        <v>14.785907305642363</v>
      </c>
      <c r="H20" s="7">
        <v>-0.89</v>
      </c>
    </row>
    <row r="21" spans="2:8" x14ac:dyDescent="0.25">
      <c r="B21" s="6">
        <v>1997</v>
      </c>
      <c r="C21" s="7">
        <f>Data_processed!D9</f>
        <v>13.402668</v>
      </c>
      <c r="D21" s="7">
        <f>Data_processed!E9</f>
        <v>40630.92</v>
      </c>
      <c r="E21" s="7" t="str">
        <f>LULUCF_FI!B12</f>
        <v>-35705</v>
      </c>
      <c r="F21" s="7">
        <f>E21/Data_processed!F9</f>
        <v>-6.9465967123657595E-3</v>
      </c>
      <c r="G21" s="7">
        <f>C21+F21</f>
        <v>13.395721403287634</v>
      </c>
      <c r="H21" s="7">
        <v>-0.89</v>
      </c>
    </row>
    <row r="22" spans="2:8" x14ac:dyDescent="0.25">
      <c r="B22" s="1">
        <v>1998</v>
      </c>
      <c r="C22" s="7">
        <f>Data_processed!D10</f>
        <v>13.432869</v>
      </c>
      <c r="D22" s="7">
        <f>Data_processed!E10</f>
        <v>42733.445</v>
      </c>
      <c r="E22" s="7" t="str">
        <f>LULUCF_FI!B13</f>
        <v>-33046</v>
      </c>
      <c r="F22" s="7">
        <f>E22/Data_processed!F10</f>
        <v>-6.4122851357657686E-3</v>
      </c>
      <c r="G22" s="7">
        <f>C22+F22</f>
        <v>13.426456714864234</v>
      </c>
      <c r="H22" s="7">
        <v>-0.89</v>
      </c>
    </row>
    <row r="23" spans="2:8" x14ac:dyDescent="0.25">
      <c r="B23" s="6">
        <v>1999</v>
      </c>
      <c r="C23" s="7">
        <f>Data_processed!D11</f>
        <v>14.024222999999999</v>
      </c>
      <c r="D23" s="7">
        <f>Data_processed!E11</f>
        <v>44505.71</v>
      </c>
      <c r="E23" s="7" t="str">
        <f>LULUCF_FI!B14</f>
        <v>-33068</v>
      </c>
      <c r="F23" s="7">
        <f>E23/Data_processed!F11</f>
        <v>-6.4016837814460355E-3</v>
      </c>
      <c r="G23" s="7">
        <f>C23+F23</f>
        <v>14.017821316218553</v>
      </c>
      <c r="H23" s="7">
        <v>-0.89</v>
      </c>
    </row>
    <row r="24" spans="2:8" x14ac:dyDescent="0.25">
      <c r="B24" s="1">
        <v>2000</v>
      </c>
      <c r="C24" s="7">
        <f>Data_processed!D12</f>
        <v>15.064202</v>
      </c>
      <c r="D24" s="7">
        <f>Data_processed!E12</f>
        <v>46968.84</v>
      </c>
      <c r="E24" s="7" t="str">
        <f>LULUCF_FI!B15</f>
        <v>-33046</v>
      </c>
      <c r="F24" s="7">
        <f>E24/Data_processed!F12</f>
        <v>-6.3842237843729673E-3</v>
      </c>
      <c r="G24" s="7">
        <f>C24+F24</f>
        <v>15.057817776215627</v>
      </c>
      <c r="H24" s="7">
        <v>-0.89</v>
      </c>
    </row>
    <row r="25" spans="2:8" x14ac:dyDescent="0.25">
      <c r="B25" s="6">
        <v>2001</v>
      </c>
      <c r="C25" s="7">
        <f>Data_processed!D13</f>
        <v>15.513823</v>
      </c>
      <c r="D25" s="7">
        <f>Data_processed!E13</f>
        <v>48099.3</v>
      </c>
      <c r="E25" s="7" t="str">
        <f>LULUCF_FI!B16</f>
        <v>-33354</v>
      </c>
      <c r="F25" s="7">
        <f>E25/Data_processed!F13</f>
        <v>-6.4291042546506631E-3</v>
      </c>
      <c r="G25" s="7">
        <f>C25+F25</f>
        <v>15.50739389574535</v>
      </c>
      <c r="H25" s="7">
        <v>-0.89</v>
      </c>
    </row>
    <row r="26" spans="2:8" x14ac:dyDescent="0.25">
      <c r="B26" s="1">
        <v>2002</v>
      </c>
      <c r="C26" s="7">
        <f>Data_processed!D14</f>
        <v>15.487036</v>
      </c>
      <c r="D26" s="7">
        <f>Data_processed!E14</f>
        <v>48792.49</v>
      </c>
      <c r="E26" s="7" t="str">
        <f>LULUCF_FI!B17</f>
        <v>-34273</v>
      </c>
      <c r="F26" s="7">
        <f>E26/Data_processed!F14</f>
        <v>-6.590267025705753E-3</v>
      </c>
      <c r="G26" s="7">
        <f>C26+F26</f>
        <v>15.480445732974294</v>
      </c>
      <c r="H26" s="7">
        <v>-0.89</v>
      </c>
    </row>
    <row r="27" spans="2:8" x14ac:dyDescent="0.25">
      <c r="B27" s="6">
        <v>2003</v>
      </c>
      <c r="C27" s="7">
        <f>Data_processed!D15</f>
        <v>17.463557999999999</v>
      </c>
      <c r="D27" s="7">
        <f>Data_processed!E15</f>
        <v>49655.546999999999</v>
      </c>
      <c r="E27" s="7" t="str">
        <f>LULUCF_FI!B18</f>
        <v>-35264</v>
      </c>
      <c r="F27" s="7">
        <f>E27/Data_processed!F15</f>
        <v>-6.7646813958600858E-3</v>
      </c>
      <c r="G27" s="7">
        <f>C27+F27</f>
        <v>17.456793318604138</v>
      </c>
      <c r="H27" s="7">
        <v>-0.89</v>
      </c>
    </row>
    <row r="28" spans="2:8" x14ac:dyDescent="0.25">
      <c r="B28" s="1">
        <v>2004</v>
      </c>
      <c r="C28" s="7">
        <f>Data_processed!D16</f>
        <v>16.722314999999998</v>
      </c>
      <c r="D28" s="7">
        <f>Data_processed!E16</f>
        <v>51494.707000000002</v>
      </c>
      <c r="E28" s="7" t="str">
        <f>LULUCF_FI!B19</f>
        <v>-37317</v>
      </c>
      <c r="F28" s="7">
        <f>E28/Data_processed!F16</f>
        <v>-7.1377105502198005E-3</v>
      </c>
      <c r="G28" s="7">
        <f>C28+F28</f>
        <v>16.715177289449777</v>
      </c>
      <c r="H28" s="7">
        <v>-0.89</v>
      </c>
    </row>
    <row r="29" spans="2:8" x14ac:dyDescent="0.25">
      <c r="B29" s="6">
        <v>2005</v>
      </c>
      <c r="C29" s="7">
        <f>Data_processed!D17</f>
        <v>15.921583999999999</v>
      </c>
      <c r="D29" s="7">
        <f>Data_processed!E17</f>
        <v>52744.046999999999</v>
      </c>
      <c r="E29" s="7" t="str">
        <f>LULUCF_FI!B20</f>
        <v>-37381</v>
      </c>
      <c r="F29" s="7">
        <f>E29/Data_processed!F17</f>
        <v>-7.1255135741405294E-3</v>
      </c>
      <c r="G29" s="7">
        <f>C29+F29</f>
        <v>15.914458486425859</v>
      </c>
      <c r="H29" s="7">
        <v>-0.89</v>
      </c>
    </row>
    <row r="30" spans="2:8" x14ac:dyDescent="0.25">
      <c r="B30" s="1">
        <v>2006</v>
      </c>
      <c r="C30" s="7">
        <f>Data_processed!D18</f>
        <v>17.151033000000002</v>
      </c>
      <c r="D30" s="7">
        <f>Data_processed!E18</f>
        <v>54653.98</v>
      </c>
      <c r="E30" s="7" t="str">
        <f>LULUCF_FI!B21</f>
        <v>-41334</v>
      </c>
      <c r="F30" s="7">
        <f>E30/Data_processed!F18</f>
        <v>-7.8488517821416696E-3</v>
      </c>
      <c r="G30" s="7">
        <f>C30+F30</f>
        <v>17.143184148217859</v>
      </c>
      <c r="H30" s="7">
        <v>-0.89</v>
      </c>
    </row>
    <row r="31" spans="2:8" x14ac:dyDescent="0.25">
      <c r="B31" s="6">
        <v>2007</v>
      </c>
      <c r="C31" s="7">
        <f>Data_processed!D19</f>
        <v>16.896522999999998</v>
      </c>
      <c r="D31" s="7">
        <f>Data_processed!E19</f>
        <v>57313.292999999998</v>
      </c>
      <c r="E31" s="7" t="str">
        <f>LULUCF_FI!B22</f>
        <v>-31755</v>
      </c>
      <c r="F31" s="7">
        <f>E31/Data_processed!F19</f>
        <v>-6.0042940487434089E-3</v>
      </c>
      <c r="G31" s="7">
        <f>C31+F31</f>
        <v>16.890518705951255</v>
      </c>
      <c r="H31" s="7">
        <v>-0.89</v>
      </c>
    </row>
    <row r="32" spans="2:8" x14ac:dyDescent="0.25">
      <c r="B32" s="1">
        <v>2008</v>
      </c>
      <c r="C32" s="7">
        <f>Data_processed!D20</f>
        <v>15.854468000000001</v>
      </c>
      <c r="D32" s="7">
        <f>Data_processed!E20</f>
        <v>57494.586000000003</v>
      </c>
      <c r="E32" s="7" t="str">
        <f>LULUCF_FI!B23</f>
        <v>-34819</v>
      </c>
      <c r="F32" s="7">
        <f>E32/Data_processed!F20</f>
        <v>-6.5530804409021075E-3</v>
      </c>
      <c r="G32" s="7">
        <f>C32+F32</f>
        <v>15.847914919559098</v>
      </c>
      <c r="H32" s="7">
        <v>-0.89</v>
      </c>
    </row>
    <row r="33" spans="2:8" x14ac:dyDescent="0.25">
      <c r="B33" s="6">
        <v>2009</v>
      </c>
      <c r="C33" s="7">
        <f>Data_processed!D21</f>
        <v>13.933142999999999</v>
      </c>
      <c r="D33" s="7">
        <f>Data_processed!E21</f>
        <v>52599.15</v>
      </c>
      <c r="E33" s="7" t="str">
        <f>LULUCF_FI!B24</f>
        <v>-45837</v>
      </c>
      <c r="F33" s="7">
        <f>E33/Data_processed!F21</f>
        <v>-8.5855503821606668E-3</v>
      </c>
      <c r="G33" s="7">
        <f>C33+F33</f>
        <v>13.924557449617838</v>
      </c>
      <c r="H33" s="7">
        <v>-0.89</v>
      </c>
    </row>
    <row r="34" spans="2:8" x14ac:dyDescent="0.25">
      <c r="B34" s="1">
        <v>2010</v>
      </c>
      <c r="C34" s="7">
        <f>Data_processed!D22</f>
        <v>16.25798</v>
      </c>
      <c r="D34" s="7">
        <f>Data_processed!E22</f>
        <v>54017.945</v>
      </c>
      <c r="E34" s="7" t="str">
        <f>LULUCF_FI!B25</f>
        <v>-33857</v>
      </c>
      <c r="F34" s="7">
        <f>E34/Data_processed!F22</f>
        <v>-6.3126625966956826E-3</v>
      </c>
      <c r="G34" s="7">
        <f>C34+F34</f>
        <v>16.251667337403305</v>
      </c>
      <c r="H34" s="7">
        <v>-0.89</v>
      </c>
    </row>
    <row r="35" spans="2:8" x14ac:dyDescent="0.25">
      <c r="B35" s="6">
        <v>2011</v>
      </c>
      <c r="C35" s="7">
        <f>Data_processed!D23</f>
        <v>13.680676999999999</v>
      </c>
      <c r="D35" s="7">
        <f>Data_processed!E23</f>
        <v>55053.39</v>
      </c>
      <c r="E35" s="7" t="str">
        <f>LULUCF_FI!B26</f>
        <v>-33142</v>
      </c>
      <c r="F35" s="7">
        <f>E35/Data_processed!F23</f>
        <v>-6.1508070544794248E-3</v>
      </c>
      <c r="G35" s="7">
        <f>C35+F35</f>
        <v>13.674526192945519</v>
      </c>
      <c r="H35" s="7">
        <v>-0.89</v>
      </c>
    </row>
    <row r="36" spans="2:8" x14ac:dyDescent="0.25">
      <c r="B36" s="1">
        <v>2012</v>
      </c>
      <c r="C36" s="7">
        <f>Data_processed!D24</f>
        <v>13.026569</v>
      </c>
      <c r="D36" s="7">
        <f>Data_processed!E24</f>
        <v>53957.667999999998</v>
      </c>
      <c r="E36" s="7" t="str">
        <f>LULUCF_FI!B27</f>
        <v>-34781</v>
      </c>
      <c r="F36" s="7">
        <f>E36/Data_processed!F24</f>
        <v>-6.424296515427288E-3</v>
      </c>
      <c r="G36" s="7">
        <f>C36+F36</f>
        <v>13.020144703484574</v>
      </c>
      <c r="H36" s="7">
        <v>-0.89</v>
      </c>
    </row>
    <row r="37" spans="2:8" x14ac:dyDescent="0.25">
      <c r="B37" s="6">
        <v>2013</v>
      </c>
      <c r="C37" s="7">
        <f>Data_processed!D25</f>
        <v>12.403442</v>
      </c>
      <c r="D37" s="7">
        <f>Data_processed!E25</f>
        <v>53183.43</v>
      </c>
      <c r="E37" s="7" t="str">
        <f>LULUCF_FI!B28</f>
        <v>-27694</v>
      </c>
      <c r="F37" s="7">
        <f>E37/Data_processed!F25</f>
        <v>-5.0916914457781928E-3</v>
      </c>
      <c r="G37" s="7">
        <f>C37+F37</f>
        <v>12.398350308554221</v>
      </c>
      <c r="H37" s="7">
        <v>-0.89</v>
      </c>
    </row>
    <row r="38" spans="2:8" x14ac:dyDescent="0.25">
      <c r="B38" s="1">
        <v>2014</v>
      </c>
      <c r="C38" s="7">
        <f>Data_processed!D26</f>
        <v>11.42572</v>
      </c>
      <c r="D38" s="7">
        <f>Data_processed!E26</f>
        <v>52710.733999999997</v>
      </c>
      <c r="E38" s="7" t="str">
        <f>LULUCF_FI!B29</f>
        <v>-28599</v>
      </c>
      <c r="F38" s="7">
        <f>E38/Data_processed!F26</f>
        <v>-5.2362951659981919E-3</v>
      </c>
      <c r="G38" s="7">
        <f>C38+F38</f>
        <v>11.420483704834002</v>
      </c>
      <c r="H38" s="7">
        <v>-0.89</v>
      </c>
    </row>
    <row r="39" spans="2:8" x14ac:dyDescent="0.25">
      <c r="B39" s="6">
        <v>2015</v>
      </c>
      <c r="C39" s="7">
        <f>Data_processed!D27</f>
        <v>10.302790999999999</v>
      </c>
      <c r="D39" s="7">
        <f>Data_processed!E27</f>
        <v>52782.49</v>
      </c>
      <c r="E39" s="7" t="str">
        <f>LULUCF_FI!B30</f>
        <v>-23463</v>
      </c>
      <c r="F39" s="7">
        <f>E39/Data_processed!F27</f>
        <v>-4.2817889019491689E-3</v>
      </c>
      <c r="G39" s="7">
        <f>C39+F39</f>
        <v>10.29850921109805</v>
      </c>
      <c r="H39" s="7">
        <v>-0.89</v>
      </c>
    </row>
    <row r="40" spans="2:8" x14ac:dyDescent="0.25">
      <c r="B40" s="1">
        <v>2016</v>
      </c>
      <c r="C40" s="7">
        <f>Data_processed!D28</f>
        <v>10.774596000000001</v>
      </c>
      <c r="D40" s="7">
        <f>Data_processed!E28</f>
        <v>53984.633000000002</v>
      </c>
      <c r="E40" s="7" t="str">
        <f>LULUCF_FI!B31</f>
        <v>-18333</v>
      </c>
      <c r="F40" s="7">
        <f>E40/Data_processed!F28</f>
        <v>-3.3360216090786081E-3</v>
      </c>
      <c r="G40" s="7">
        <f>C40+F40</f>
        <v>10.771259978390923</v>
      </c>
      <c r="H40" s="7">
        <v>-0.89</v>
      </c>
    </row>
    <row r="41" spans="2:8" x14ac:dyDescent="0.25">
      <c r="B41" s="6">
        <v>2017</v>
      </c>
      <c r="C41" s="7">
        <f>Data_processed!D29</f>
        <v>10.768594999999999</v>
      </c>
      <c r="D41" s="7">
        <f>Data_processed!E29</f>
        <v>55637.226999999999</v>
      </c>
      <c r="E41" s="7" t="str">
        <f>LULUCF_FI!B32</f>
        <v>-13266</v>
      </c>
      <c r="F41" s="7">
        <f>E41/Data_processed!F29</f>
        <v>-2.4083227101600138E-3</v>
      </c>
      <c r="G41" s="7">
        <f>C41+F41</f>
        <v>10.76618667728984</v>
      </c>
      <c r="H41" s="7">
        <v>-0.89</v>
      </c>
    </row>
    <row r="42" spans="2:8" x14ac:dyDescent="0.25">
      <c r="B42" s="1">
        <v>2018</v>
      </c>
      <c r="C42" s="7">
        <f>Data_processed!D30</f>
        <v>11.143822999999999</v>
      </c>
      <c r="D42" s="7">
        <f>Data_processed!E30</f>
        <v>56226.336000000003</v>
      </c>
      <c r="E42" s="7" t="str">
        <f>LULUCF_FI!B33</f>
        <v>-764</v>
      </c>
      <c r="F42" s="7">
        <f>E42/Data_processed!F30</f>
        <v>-1.3851294388956674E-4</v>
      </c>
      <c r="G42" s="7">
        <f>C42+F42</f>
        <v>11.14368448705611</v>
      </c>
      <c r="H42" s="7">
        <v>-0.89</v>
      </c>
    </row>
    <row r="43" spans="2:8" x14ac:dyDescent="0.25">
      <c r="B43" s="6">
        <v>2019</v>
      </c>
      <c r="C43" s="7">
        <f>Data_processed!D31</f>
        <v>10.247757999999999</v>
      </c>
      <c r="D43" s="7">
        <f>Data_processed!E31</f>
        <v>56922.49</v>
      </c>
      <c r="E43" s="7" t="str">
        <f>LULUCF_FI!B34</f>
        <v>-4086</v>
      </c>
      <c r="F43" s="7">
        <f>E43/Data_processed!F31</f>
        <v>-7.3998225926037275E-4</v>
      </c>
      <c r="G43" s="7">
        <f>C43+F43</f>
        <v>10.247018017740739</v>
      </c>
      <c r="H43" s="7">
        <v>-0.89</v>
      </c>
    </row>
    <row r="44" spans="2:8" x14ac:dyDescent="0.25">
      <c r="B44" s="1">
        <v>2020</v>
      </c>
      <c r="C44" s="7">
        <f>Data_processed!D32</f>
        <v>9.2471770000000006</v>
      </c>
      <c r="D44" s="7">
        <f>Data_processed!E32</f>
        <v>55424.86</v>
      </c>
      <c r="E44" s="7" t="str">
        <f>LULUCF_FI!B35</f>
        <v>-4953</v>
      </c>
      <c r="F44" s="7">
        <f>E44/Data_processed!F32</f>
        <v>-8.9572223460001558E-4</v>
      </c>
      <c r="G44" s="7">
        <f>C44+F44</f>
        <v>9.2462812777653998</v>
      </c>
      <c r="H44" s="7">
        <v>-0.89</v>
      </c>
    </row>
    <row r="45" spans="2:8" x14ac:dyDescent="0.25">
      <c r="B45" s="6">
        <v>2021</v>
      </c>
      <c r="C45" s="7">
        <f>Data_processed!D33</f>
        <v>9.8892570000000006</v>
      </c>
      <c r="D45" s="7">
        <f>Data_processed!E33</f>
        <v>56790.375</v>
      </c>
      <c r="E45" s="7" t="str">
        <f>LULUCF_FI!B36</f>
        <v>5166</v>
      </c>
      <c r="F45" s="7">
        <f>E45/Data_processed!F33</f>
        <v>9.3231107571481247E-4</v>
      </c>
      <c r="G45" s="7">
        <f>C45+F45</f>
        <v>9.8901893110757158</v>
      </c>
      <c r="H45" s="7">
        <v>-0.89</v>
      </c>
    </row>
    <row r="46" spans="2:8" x14ac:dyDescent="0.25">
      <c r="B46" s="1">
        <v>2022</v>
      </c>
      <c r="C46" s="7">
        <f>Data_processed!D34</f>
        <v>9.4741940000000007</v>
      </c>
      <c r="D46" s="7">
        <f>Data_processed!E34</f>
        <v>57068.305</v>
      </c>
      <c r="E46" s="7" t="str">
        <f>LULUCF_FI!B37</f>
        <v>5554</v>
      </c>
      <c r="F46" s="7">
        <f>E46/Data_processed!F34</f>
        <v>9.9725279658125789E-4</v>
      </c>
      <c r="G46" s="7">
        <f>C46+F46</f>
        <v>9.4751912527965825</v>
      </c>
      <c r="H46" s="7">
        <v>-0.89</v>
      </c>
    </row>
    <row r="47" spans="2:8" x14ac:dyDescent="0.25">
      <c r="B47" s="6">
        <v>2023</v>
      </c>
      <c r="C47" s="7">
        <f>Data_processed!D35</f>
        <v>8.4735709999999997</v>
      </c>
      <c r="D47" s="7">
        <f>Data_processed!E35</f>
        <v>56246.44</v>
      </c>
      <c r="E47" s="7" t="str">
        <f>LULUCF_FI!B38</f>
        <v>4553</v>
      </c>
      <c r="F47" s="7">
        <f>E47/Data_processed!F35</f>
        <v>8.1286370651924549E-4</v>
      </c>
      <c r="G47" s="7">
        <f>C47+F47</f>
        <v>8.4743838637065192</v>
      </c>
      <c r="H47" s="7">
        <v>-0.89</v>
      </c>
    </row>
    <row r="50" spans="2:4" x14ac:dyDescent="0.25">
      <c r="C50">
        <f>1-2/17.77</f>
        <v>0.88745075970737197</v>
      </c>
    </row>
    <row r="55" spans="2:4" x14ac:dyDescent="0.25">
      <c r="B55">
        <f>Calculations!F9*1000</f>
        <v>8474.3838637065201</v>
      </c>
      <c r="D55">
        <f>IF(B55&gt;2000, B55,0)</f>
        <v>8474.3838637065201</v>
      </c>
    </row>
    <row r="56" spans="2:4" x14ac:dyDescent="0.25">
      <c r="D56">
        <f>IF(B55&lt;2000,B55,0)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D1FA066A4B6F0942A5CAD68319EA307A" ma:contentTypeVersion="6" ma:contentTypeDescription="Luo uusi asiakirja." ma:contentTypeScope="" ma:versionID="c4e0b4962c0c9b9d72dfe83f86b61e20">
  <xsd:schema xmlns:xsd="http://www.w3.org/2001/XMLSchema" xmlns:xs="http://www.w3.org/2001/XMLSchema" xmlns:p="http://schemas.microsoft.com/office/2006/metadata/properties" xmlns:ns3="b14de943-3eda-4af7-bbcf-ab0b8f4feaab" targetNamespace="http://schemas.microsoft.com/office/2006/metadata/properties" ma:root="true" ma:fieldsID="d79e5c000c362ffde4b33076cfd3a9e0" ns3:_="">
    <xsd:import namespace="b14de943-3eda-4af7-bbcf-ab0b8f4feaa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de943-3eda-4af7-bbcf-ab0b8f4feaa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4de943-3eda-4af7-bbcf-ab0b8f4feaab" xsi:nil="true"/>
  </documentManagement>
</p:properties>
</file>

<file path=customXml/itemProps1.xml><?xml version="1.0" encoding="utf-8"?>
<ds:datastoreItem xmlns:ds="http://schemas.openxmlformats.org/officeDocument/2006/customXml" ds:itemID="{F05E2315-299E-423D-98C6-F9C724AAB90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314698A-589D-4BCC-9527-AF5260797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de943-3eda-4af7-bbcf-ab0b8f4fea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84B9FE-A5DB-4D8F-8EB3-5ED1FE7A57E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D330BC3-AF6A-4F6A-958A-90233DF82C86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b14de943-3eda-4af7-bbcf-ab0b8f4feaab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Data_processed</vt:lpstr>
      <vt:lpstr>LULUCF_FI</vt:lpstr>
      <vt:lpstr>Sheet1</vt:lpstr>
      <vt:lpstr>Calculations</vt:lpstr>
      <vt:lpstr>Dietary_change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Oskari Luoma</dc:creator>
  <cp:lastModifiedBy>Oskari Luoma</cp:lastModifiedBy>
  <dcterms:created xsi:type="dcterms:W3CDTF">2015-06-05T18:17:20Z</dcterms:created>
  <dcterms:modified xsi:type="dcterms:W3CDTF">2025-12-27T12:50:05Z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0x010100D1FA066A4B6F0942A5CAD68319EA307A</vt:lpwstr>
  </property>
</Properties>
</file>